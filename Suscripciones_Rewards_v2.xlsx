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ertas" sheetId="2" state="visible" r:id="rId2"/>
    <sheet name="EstadoCuenta" sheetId="3" state="visible" r:id="rId3"/>
    <sheet name="Suscripciones" sheetId="4" state="visible" r:id="rId4"/>
    <sheet name="Pagos" sheetId="5" state="visible" r:id="rId5"/>
    <sheet name="Clientes" sheetId="6" state="visible" r:id="rId6"/>
    <sheet name="Planes" sheetId="7" state="visible" r:id="rId7"/>
    <sheet name="Rewards" sheetId="8" state="visible" r:id="rId8"/>
    <sheet name="Canjes" sheetId="9" state="visible" r:id="rId9"/>
  </sheets>
  <definedNames>
    <definedName name="TBL_PLANES">Planes!$A$5:$G$14</definedName>
    <definedName name="TBL_CLIENTES">Clientes!$A$5:$G$30</definedName>
    <definedName name="TBL_SUB">Suscripciones!$A$5:$M$30</definedName>
    <definedName name="TBL_PAGOS">Pagos!$A$5:$I$50</definedName>
    <definedName name="TBL_EC">EstadoCuenta!$A$5:$O$30</definedName>
    <definedName name="TBL_REWARDS">Rewards!$A$5:$G$22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&quot;$&quot;#,##0;[Red]-&quot;$&quot;#,##0;-"/>
    <numFmt numFmtId="167" formatCode="#,##0;-#,##0;-"/>
    <numFmt numFmtId="168" formatCode="0;[Red]-0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color rgb="001D4ED8"/>
      <sz val="10"/>
    </font>
    <font>
      <name val="Arial"/>
      <color rgb="00111827"/>
      <sz val="10"/>
    </font>
    <font>
      <name val="Arial"/>
      <b val="1"/>
      <color rgb="0092400E"/>
      <sz val="12"/>
    </font>
    <font>
      <name val="Arial"/>
      <b val="1"/>
      <color rgb="00991B1B"/>
      <sz val="12"/>
    </font>
    <font>
      <name val="Arial"/>
      <b val="1"/>
      <color rgb="000F172A"/>
      <sz val="13"/>
    </font>
    <font>
      <name val="Arial"/>
      <b val="1"/>
      <color rgb="00111827"/>
      <sz val="10"/>
    </font>
    <font>
      <name val="Arial"/>
      <b val="1"/>
      <color rgb="000F172A"/>
      <sz val="12"/>
    </font>
    <font>
      <name val="Arial"/>
      <i val="1"/>
      <color rgb="006B7280"/>
      <sz val="9"/>
    </font>
    <font>
      <name val="Arial"/>
      <color rgb="00374151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8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10" fillId="0" borderId="0" pivotButton="0" quotePrefix="0" xfId="0"/>
    <xf numFmtId="0" fontId="12" fillId="0" borderId="0" applyAlignment="1" pivotButton="0" quotePrefix="0" xfId="0">
      <alignment horizontal="left" wrapText="1" inden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4" fontId="4" fillId="0" borderId="1" applyAlignment="1" pivotButton="0" quotePrefix="0" xfId="0">
      <alignment horizontal="right" vertical="center"/>
    </xf>
    <xf numFmtId="165" fontId="0" fillId="0" borderId="1" pivotButton="0" quotePrefix="0" xfId="0"/>
    <xf numFmtId="164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991B1B"/>
        <sz val="12"/>
      </font>
      <fill>
        <patternFill patternType="solid">
          <fgColor rgb="00FECACA"/>
        </patternFill>
      </fill>
    </dxf>
    <dxf>
      <font>
        <name val="Arial"/>
        <b val="1"/>
        <color rgb="0092400E"/>
      </font>
      <fill>
        <patternFill patternType="solid">
          <fgColor rgb="00FEF3C7"/>
        </patternFill>
      </fill>
    </dxf>
    <dxf>
      <font>
        <name val="Arial"/>
        <b val="1"/>
        <color rgb="00991B1B"/>
      </font>
      <fill>
        <patternFill patternType="solid">
          <fgColor rgb="00FECACA"/>
        </patternFill>
      </fill>
    </dxf>
    <dxf>
      <font>
        <name val="Arial"/>
        <b val="1"/>
        <color rgb="00166534"/>
      </font>
      <fill>
        <patternFill patternType="solid">
          <fgColor rgb="00DCFCE7"/>
        </patternFill>
      </fill>
    </dxf>
    <dxf>
      <font>
        <name val="Arial"/>
        <b val="1"/>
        <color rgb="001E3A8A"/>
      </font>
      <fill>
        <patternFill patternType="solid">
          <fgColor rgb="00DBEAFE"/>
        </patternFill>
      </fill>
    </dxf>
    <dxf>
      <font>
        <name val="Arial"/>
        <b val="1"/>
        <color rgb="00374151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0" customWidth="1" min="3" max="3"/>
  </cols>
  <sheetData>
    <row r="1" ht="44" customHeight="1">
      <c r="A1" s="1" t="inlineStr">
        <is>
          <t>📊 DASHBOARD — SUSCRIPCIONES &amp; REWARDS</t>
        </is>
      </c>
    </row>
    <row r="2">
      <c r="A2" s="2" t="inlineStr">
        <is>
          <t>Actualizado al abrir · TODAY() recalcula automáticamente · MateAI</t>
        </is>
      </c>
    </row>
    <row r="4" ht="26" customHeight="1">
      <c r="A4" s="3" t="inlineStr">
        <is>
          <t>💰 INGRESOS</t>
        </is>
      </c>
    </row>
    <row r="5" ht="30" customHeight="1">
      <c r="A5" s="4" t="inlineStr">
        <is>
          <t>KPI</t>
        </is>
      </c>
      <c r="B5" s="4" t="inlineStr">
        <is>
          <t>Valor</t>
        </is>
      </c>
      <c r="C5" s="4" t="inlineStr">
        <is>
          <t>Detalle</t>
        </is>
      </c>
    </row>
    <row r="6" ht="24" customHeight="1">
      <c r="A6" s="5" t="inlineStr">
        <is>
          <t>MRR (Ingreso recurrente mensual)</t>
        </is>
      </c>
      <c r="B6" s="6">
        <f>SUMPRODUCT((Suscripciones!F5:F30="Mensual")*(Suscripciones!J5:J30="Activa")*Suscripciones!G5:G30)+SUMPRODUCT((Suscripciones!F5:F30="Anual")*(Suscripciones!J5:J30="Activa")*Suscripciones!G5:G30)/12</f>
        <v/>
      </c>
      <c r="C6" s="7" t="inlineStr">
        <is>
          <t>Mensuales activos + (Anuales activos / 12)</t>
        </is>
      </c>
    </row>
    <row r="7" ht="24" customHeight="1">
      <c r="A7" s="5" t="inlineStr">
        <is>
          <t>ARR (Ingreso anualizado)</t>
        </is>
      </c>
      <c r="B7" s="6">
        <f>B6*12</f>
        <v/>
      </c>
      <c r="C7" s="7" t="inlineStr">
        <is>
          <t>MRR × 12</t>
        </is>
      </c>
    </row>
    <row r="8" ht="24" customHeight="1">
      <c r="A8" s="5" t="inlineStr">
        <is>
          <t>Cobrado este mes</t>
        </is>
      </c>
      <c r="B8" s="6">
        <f>SUMIFS(Pagos!F:F,Pagos!B:B,"&gt;="&amp;DATE(YEAR(TODAY()),MONTH(TODAY()),1),Pagos!B:B,"&lt;"&amp;DATE(YEAR(TODAY()),MONTH(TODAY())+1,1))</f>
        <v/>
      </c>
      <c r="C8" s="7" t="inlineStr">
        <is>
          <t>Suma de pagos del mes actual</t>
        </is>
      </c>
    </row>
    <row r="9" ht="24" customHeight="1">
      <c r="A9" s="5" t="inlineStr">
        <is>
          <t>Cobrado total histórico</t>
        </is>
      </c>
      <c r="B9" s="6">
        <f>SUM(Pagos!F:F)</f>
        <v/>
      </c>
      <c r="C9" s="7" t="inlineStr">
        <is>
          <t>Suma de todos los pagos registrados</t>
        </is>
      </c>
    </row>
    <row r="10" ht="24" customHeight="1">
      <c r="A10" s="5" t="inlineStr">
        <is>
          <t>Saldo pendiente total</t>
        </is>
      </c>
      <c r="B10" s="6">
        <f>SUMIF(EstadoCuenta!L5:L30,"&gt;0")</f>
        <v/>
      </c>
      <c r="C10" s="7" t="inlineStr">
        <is>
          <t>Suma de saldos positivos (clientes que deben)</t>
        </is>
      </c>
    </row>
    <row r="12" ht="26" customHeight="1">
      <c r="A12" s="3" t="inlineStr">
        <is>
          <t>📌 SUSCRIPCIONES</t>
        </is>
      </c>
    </row>
    <row r="13" ht="30" customHeight="1">
      <c r="A13" s="4" t="inlineStr">
        <is>
          <t>KPI</t>
        </is>
      </c>
      <c r="B13" s="4" t="inlineStr">
        <is>
          <t>Valor</t>
        </is>
      </c>
      <c r="C13" s="4" t="inlineStr">
        <is>
          <t>Detalle</t>
        </is>
      </c>
    </row>
    <row r="14" ht="24" customHeight="1">
      <c r="A14" s="5" t="inlineStr">
        <is>
          <t>Suscripciones activas</t>
        </is>
      </c>
      <c r="B14" s="8">
        <f>COUNTIF(Suscripciones!J5:J30,"Activa")</f>
        <v/>
      </c>
      <c r="C14" s="7" t="inlineStr">
        <is>
          <t>Estado = Activa</t>
        </is>
      </c>
    </row>
    <row r="15" ht="24" customHeight="1">
      <c r="A15" s="5" t="inlineStr">
        <is>
          <t>Suscripciones pausadas</t>
        </is>
      </c>
      <c r="B15" s="8">
        <f>COUNTIF(Suscripciones!J5:J30,"Pausada")</f>
        <v/>
      </c>
      <c r="C15" s="7" t="inlineStr">
        <is>
          <t>Estado = Pausada</t>
        </is>
      </c>
    </row>
    <row r="16" ht="24" customHeight="1">
      <c r="A16" s="5" t="inlineStr">
        <is>
          <t>Suscripciones canceladas</t>
        </is>
      </c>
      <c r="B16" s="8">
        <f>COUNTIF(Suscripciones!J5:J30,"Cancelada")</f>
        <v/>
      </c>
      <c r="C16" s="7" t="inlineStr">
        <is>
          <t>Estado = Cancelada</t>
        </is>
      </c>
    </row>
    <row r="17" ht="24" customHeight="1">
      <c r="A17" s="5" t="inlineStr">
        <is>
          <t>Clientes al día</t>
        </is>
      </c>
      <c r="B17" s="8">
        <f>COUNTIF(EstadoCuenta!O5:O30,"Al día")</f>
        <v/>
      </c>
      <c r="C17" s="7" t="inlineStr">
        <is>
          <t>Sin saldo pendiente</t>
        </is>
      </c>
    </row>
    <row r="18" ht="24" customHeight="1">
      <c r="A18" s="5" t="inlineStr">
        <is>
          <t>Clientes por cobrar (≤7 días)</t>
        </is>
      </c>
      <c r="B18" s="8">
        <f>COUNTIF(EstadoCuenta!O5:O30,"Por cobrar")</f>
        <v/>
      </c>
      <c r="C18" s="7" t="inlineStr">
        <is>
          <t>Próximo cobro en los próximos 7 días</t>
        </is>
      </c>
    </row>
    <row r="19" ht="24" customHeight="1">
      <c r="A19" s="5" t="inlineStr">
        <is>
          <t>Clientes en mora</t>
        </is>
      </c>
      <c r="B19" s="8">
        <f>COUNTIF(EstadoCuenta!O5:O30,"En mora")</f>
        <v/>
      </c>
      <c r="C19" s="7" t="inlineStr">
        <is>
          <t>Saldo pendiente y fecha de cobro vencida</t>
        </is>
      </c>
    </row>
    <row r="20" ht="24" customHeight="1">
      <c r="A20" s="5" t="inlineStr">
        <is>
          <t>Plan más popular</t>
        </is>
      </c>
      <c r="B20" s="9">
        <f>IFERROR(INDEX(Suscripciones!E5:E30,MATCH(MAX(COUNTIF(Suscripciones!E5:E30,Suscripciones!E5:E30)),COUNTIF(Suscripciones!E5:E30,Suscripciones!E5:E30),0)),"")</f>
        <v/>
      </c>
      <c r="C20" s="7" t="inlineStr">
        <is>
          <t>Plan con más suscripciones</t>
        </is>
      </c>
    </row>
    <row r="22" ht="26" customHeight="1">
      <c r="A22" s="3" t="inlineStr">
        <is>
          <t>🎁 REWARDS</t>
        </is>
      </c>
    </row>
    <row r="23" ht="30" customHeight="1">
      <c r="A23" s="4" t="inlineStr">
        <is>
          <t>KPI</t>
        </is>
      </c>
      <c r="B23" s="4" t="inlineStr">
        <is>
          <t>Valor</t>
        </is>
      </c>
      <c r="C23" s="4" t="inlineStr">
        <is>
          <t>Detalle</t>
        </is>
      </c>
    </row>
    <row r="24" ht="24" customHeight="1">
      <c r="A24" s="5" t="inlineStr">
        <is>
          <t>Total puntos otorgados</t>
        </is>
      </c>
      <c r="B24" s="8">
        <f>SUMPRODUCT((EstadoCuenta!A5:A30&lt;&gt;"")*EstadoCuenta!J5:J30*IFERROR(VLOOKUP(EstadoCuenta!C5:C30,Planes!$B$5:$E$14,4,FALSE),0))</f>
        <v/>
      </c>
      <c r="C24" s="7" t="inlineStr">
        <is>
          <t>Cuotas pagadas × puntos por ciclo del plan</t>
        </is>
      </c>
    </row>
    <row r="25" ht="24" customHeight="1">
      <c r="A25" s="5" t="inlineStr">
        <is>
          <t>Puntos gastados (canjeados)</t>
        </is>
      </c>
      <c r="B25" s="8">
        <f>SUMIF(Canjes!J5:J30,"Canjeado",Canjes!H5:H30)</f>
        <v/>
      </c>
      <c r="C25" s="7" t="inlineStr">
        <is>
          <t>Suma de costo en puntos de canjes confirmados</t>
        </is>
      </c>
    </row>
    <row r="26" ht="24" customHeight="1">
      <c r="A26" s="5" t="inlineStr">
        <is>
          <t>Saldo de puntos disponibles</t>
        </is>
      </c>
      <c r="B26" s="8">
        <f>B24-B25</f>
        <v/>
      </c>
      <c r="C26" s="7" t="inlineStr">
        <is>
          <t>Otorgados − gastados</t>
        </is>
      </c>
    </row>
    <row r="27" ht="24" customHeight="1">
      <c r="A27" s="5" t="inlineStr">
        <is>
          <t>Total canjes (todos)</t>
        </is>
      </c>
      <c r="B27" s="8">
        <f>COUNTA(Canjes!A5:A30)</f>
        <v/>
      </c>
      <c r="C27" s="7" t="inlineStr">
        <is>
          <t>Filas registradas en Canjes</t>
        </is>
      </c>
    </row>
    <row r="28" ht="24" customHeight="1">
      <c r="A28" s="5" t="inlineStr">
        <is>
          <t>Canjes pendientes</t>
        </is>
      </c>
      <c r="B28" s="8">
        <f>COUNTIF(Canjes!J5:J30,"Pendiente")</f>
        <v/>
      </c>
      <c r="C28" s="7" t="inlineStr">
        <is>
          <t>Estado = Pendiente (acción requerida)</t>
        </is>
      </c>
    </row>
    <row r="29" ht="24" customHeight="1">
      <c r="A29" s="5" t="inlineStr">
        <is>
          <t>Reward más canjeado</t>
        </is>
      </c>
      <c r="B29" s="9">
        <f>IFERROR(INDEX(Canjes!G5:G30,MATCH(MAX(COUNTIF(Canjes!G5:G30,Canjes!G5:G30)),COUNTIF(Canjes!G5:G30,Canjes!G5:G30),0)),"")</f>
        <v/>
      </c>
      <c r="C29" s="7" t="inlineStr">
        <is>
          <t>Reward con más canjes</t>
        </is>
      </c>
    </row>
    <row r="31" ht="8" customHeight="1"/>
    <row r="32">
      <c r="A32" s="10" t="inlineStr">
        <is>
          <t>📌 Cómo usar el sistema</t>
        </is>
      </c>
    </row>
    <row r="33" ht="20" customHeight="1">
      <c r="A33" s="11" t="inlineStr">
        <is>
          <t>1) Edita primero PLANES y REWARDS (catálogos maestros).</t>
        </is>
      </c>
    </row>
    <row r="34" ht="20" customHeight="1">
      <c r="A34" s="11" t="inlineStr">
        <is>
          <t>2) Da de alta CLIENTES → ID Cliente, nombre, contacto.</t>
        </is>
      </c>
    </row>
    <row r="35" ht="20" customHeight="1">
      <c r="A35" s="11" t="inlineStr">
        <is>
          <t>3) Crea cada SUSCRIPCIÓN: ID Cliente + ID Plan + Fecha inicio + Día de cobro. El Plan, Precio y Periodicidad se autocompletan.</t>
        </is>
      </c>
    </row>
    <row r="36" ht="20" customHeight="1">
      <c r="A36" s="11" t="inlineStr">
        <is>
          <t>4) Cada vez que cobres, registra una fila en PAGOS: Fecha, ID Sub y Monto. Cliente y Plan se autocompletan.</t>
        </is>
      </c>
    </row>
    <row r="37" ht="20" customHeight="1">
      <c r="A37" s="11" t="inlineStr">
        <is>
          <t>5) ESTADO DE CUENTA muestra automáticamente: cuotas esperadas, total facturado, total pagado, saldo, próximo cobro y mora.</t>
        </is>
      </c>
    </row>
    <row r="38" ht="20" customHeight="1">
      <c r="A38" s="11" t="inlineStr">
        <is>
          <t>6) Revisa ALERTAS para ver de un vistazo quién debe pagar pronto y quién está atrasado.</t>
        </is>
      </c>
    </row>
    <row r="39" ht="20" customHeight="1">
      <c r="A39" s="11" t="inlineStr">
        <is>
          <t>7) Registra rewards canjeados en CANJES → calcula automáticamente el saldo de puntos disponibles.</t>
        </is>
      </c>
    </row>
    <row r="40" ht="20" customHeight="1">
      <c r="A40" s="11" t="inlineStr">
        <is>
          <t>8) DASHBOARD recalcula MRR, ARR, mora y puntos al abrir el archivo.</t>
        </is>
      </c>
    </row>
    <row r="41" ht="20" customHeight="1">
      <c r="A41" s="11" t="inlineStr"/>
    </row>
    <row r="42" ht="20" customHeight="1">
      <c r="A42" s="11" t="inlineStr">
        <is>
          <t>🎨 Convención de color:  AZUL = entrada manual  ·  NEGRO = fórmula automática (no editar)</t>
        </is>
      </c>
    </row>
    <row r="43" ht="20" customHeight="1">
      <c r="A43" s="11" t="inlineStr">
        <is>
          <t>🔄 Las celdas con TODAY() se recalculan al abrir Excel/Google Sheets.</t>
        </is>
      </c>
    </row>
  </sheetData>
  <mergeCells count="17">
    <mergeCell ref="A42:C42"/>
    <mergeCell ref="A41:C41"/>
    <mergeCell ref="A33:C33"/>
    <mergeCell ref="A36:C36"/>
    <mergeCell ref="A1:C1"/>
    <mergeCell ref="A37:C37"/>
    <mergeCell ref="A32:C32"/>
    <mergeCell ref="A22:C22"/>
    <mergeCell ref="A40:C40"/>
    <mergeCell ref="A35:C35"/>
    <mergeCell ref="A34:C34"/>
    <mergeCell ref="A12:C12"/>
    <mergeCell ref="A4:C4"/>
    <mergeCell ref="A39:C39"/>
    <mergeCell ref="A43:C43"/>
    <mergeCell ref="A38:C38"/>
    <mergeCell ref="A2:C2"/>
  </mergeCells>
  <conditionalFormatting sqref="B19">
    <cfRule type="expression" priority="1" dxfId="0">
      <formula>$B$19&gt;0</formula>
    </cfRule>
  </conditionalFormatting>
  <conditionalFormatting sqref="B10">
    <cfRule type="expression" priority="2" dxfId="0">
      <formula>$B$10&gt;0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 ht="40" customHeight="1">
      <c r="A1" s="1" t="inlineStr">
        <is>
          <t>🚨 ALERTAS DE COBRO</t>
        </is>
      </c>
    </row>
    <row r="2" ht="18" customHeight="1">
      <c r="A2" s="2" t="inlineStr">
        <is>
          <t>Suscripciones por cobrar próximamente y clientes en mora · auto desde EstadoCuenta</t>
        </is>
      </c>
    </row>
    <row r="4">
      <c r="A4" s="12" t="inlineStr">
        <is>
          <t>▼ POR COBRAR (próximos 7 días)</t>
        </is>
      </c>
    </row>
    <row r="5" ht="30" customHeight="1">
      <c r="A5" s="4" t="inlineStr">
        <is>
          <t>Estado</t>
        </is>
      </c>
      <c r="B5" s="4" t="inlineStr">
        <is>
          <t>ID Sub</t>
        </is>
      </c>
      <c r="C5" s="4" t="inlineStr">
        <is>
          <t>Cliente</t>
        </is>
      </c>
      <c r="D5" s="4" t="inlineStr">
        <is>
          <t>Plan</t>
        </is>
      </c>
      <c r="E5" s="4" t="inlineStr">
        <is>
          <t>Precio</t>
        </is>
      </c>
      <c r="F5" s="4" t="inlineStr">
        <is>
          <t>Próx. cobro</t>
        </is>
      </c>
      <c r="G5" s="4" t="inlineStr">
        <is>
          <t>Días para cobro</t>
        </is>
      </c>
      <c r="H5" s="4" t="inlineStr">
        <is>
          <t>Saldo</t>
        </is>
      </c>
      <c r="I5" s="4" t="inlineStr">
        <is>
          <t>Método pago</t>
        </is>
      </c>
    </row>
    <row r="6">
      <c r="A6" s="13">
        <f>IFERROR(INDEX(EstadoCuenta!$O$5:$O$30,IFERROR(SMALL(IF(EstadoCuenta!$O$5:$O$30="Por cobrar",ROW(EstadoCuenta!$O$5:$O$30)),1),"")-4),"")</f>
        <v/>
      </c>
      <c r="B6" s="13">
        <f>IFERROR(INDEX(EstadoCuenta!$A$5:$A$30,IFERROR(SMALL(IF(EstadoCuenta!$O$5:$O$30="Por cobrar",ROW(EstadoCuenta!$O$5:$O$30)),1),"")-4),"")</f>
        <v/>
      </c>
      <c r="C6" s="13">
        <f>IFERROR(INDEX(EstadoCuenta!$B$5:$B$30,IFERROR(SMALL(IF(EstadoCuenta!$O$5:$O$30="Por cobrar",ROW(EstadoCuenta!$O$5:$O$30)),1),"")-4),"")</f>
        <v/>
      </c>
      <c r="D6" s="13">
        <f>IFERROR(INDEX(EstadoCuenta!$C$5:$C$30,IFERROR(SMALL(IF(EstadoCuenta!$O$5:$O$30="Por cobrar",ROW(EstadoCuenta!$O$5:$O$30)),1),"")-4),"")</f>
        <v/>
      </c>
      <c r="E6" s="14">
        <f>IFERROR(INDEX(EstadoCuenta!$E$5:$E$30,IFERROR(SMALL(IF(EstadoCuenta!$O$5:$O$30="Por cobrar",ROW(EstadoCuenta!$O$5:$O$30)),1),"")-4),"")</f>
        <v/>
      </c>
      <c r="F6" s="15">
        <f>IFERROR(INDEX(EstadoCuenta!$M$5:$M$30,IFERROR(SMALL(IF(EstadoCuenta!$O$5:$O$30="Por cobrar",ROW(EstadoCuenta!$O$5:$O$30)),1),"")-4),"")</f>
        <v/>
      </c>
      <c r="G6" s="16">
        <f>IFERROR(INDEX(EstadoCuenta!$N$5:$N$30,IFERROR(SMALL(IF(EstadoCuenta!$O$5:$O$30="Por cobrar",ROW(EstadoCuenta!$O$5:$O$30)),1),"")-4),"")</f>
        <v/>
      </c>
      <c r="H6" s="14">
        <f>IFERROR(INDEX(EstadoCuenta!$L$5:$L$30,IFERROR(SMALL(IF(EstadoCuenta!$O$5:$O$30="Por cobrar",ROW(EstadoCuenta!$O$5:$O$30)),1),"")-4),"")</f>
        <v/>
      </c>
      <c r="I6" s="13">
        <f>IFERROR(VLOOKUP(B6,Suscripciones!$A$5:$L$30,12,FALSE),"")</f>
        <v/>
      </c>
    </row>
    <row r="7">
      <c r="A7" s="13">
        <f>IFERROR(INDEX(EstadoCuenta!$O$5:$O$30,IFERROR(SMALL(IF(EstadoCuenta!$O$5:$O$30="Por cobrar",ROW(EstadoCuenta!$O$5:$O$30)),2),"")-4),"")</f>
        <v/>
      </c>
      <c r="B7" s="13">
        <f>IFERROR(INDEX(EstadoCuenta!$A$5:$A$30,IFERROR(SMALL(IF(EstadoCuenta!$O$5:$O$30="Por cobrar",ROW(EstadoCuenta!$O$5:$O$30)),2),"")-4),"")</f>
        <v/>
      </c>
      <c r="C7" s="13">
        <f>IFERROR(INDEX(EstadoCuenta!$B$5:$B$30,IFERROR(SMALL(IF(EstadoCuenta!$O$5:$O$30="Por cobrar",ROW(EstadoCuenta!$O$5:$O$30)),2),"")-4),"")</f>
        <v/>
      </c>
      <c r="D7" s="13">
        <f>IFERROR(INDEX(EstadoCuenta!$C$5:$C$30,IFERROR(SMALL(IF(EstadoCuenta!$O$5:$O$30="Por cobrar",ROW(EstadoCuenta!$O$5:$O$30)),2),"")-4),"")</f>
        <v/>
      </c>
      <c r="E7" s="14">
        <f>IFERROR(INDEX(EstadoCuenta!$E$5:$E$30,IFERROR(SMALL(IF(EstadoCuenta!$O$5:$O$30="Por cobrar",ROW(EstadoCuenta!$O$5:$O$30)),2),"")-4),"")</f>
        <v/>
      </c>
      <c r="F7" s="15">
        <f>IFERROR(INDEX(EstadoCuenta!$M$5:$M$30,IFERROR(SMALL(IF(EstadoCuenta!$O$5:$O$30="Por cobrar",ROW(EstadoCuenta!$O$5:$O$30)),2),"")-4),"")</f>
        <v/>
      </c>
      <c r="G7" s="16">
        <f>IFERROR(INDEX(EstadoCuenta!$N$5:$N$30,IFERROR(SMALL(IF(EstadoCuenta!$O$5:$O$30="Por cobrar",ROW(EstadoCuenta!$O$5:$O$30)),2),"")-4),"")</f>
        <v/>
      </c>
      <c r="H7" s="14">
        <f>IFERROR(INDEX(EstadoCuenta!$L$5:$L$30,IFERROR(SMALL(IF(EstadoCuenta!$O$5:$O$30="Por cobrar",ROW(EstadoCuenta!$O$5:$O$30)),2),"")-4),"")</f>
        <v/>
      </c>
      <c r="I7" s="13">
        <f>IFERROR(VLOOKUP(B7,Suscripciones!$A$5:$L$30,12,FALSE),"")</f>
        <v/>
      </c>
    </row>
    <row r="8">
      <c r="A8" s="13">
        <f>IFERROR(INDEX(EstadoCuenta!$O$5:$O$30,IFERROR(SMALL(IF(EstadoCuenta!$O$5:$O$30="Por cobrar",ROW(EstadoCuenta!$O$5:$O$30)),3),"")-4),"")</f>
        <v/>
      </c>
      <c r="B8" s="13">
        <f>IFERROR(INDEX(EstadoCuenta!$A$5:$A$30,IFERROR(SMALL(IF(EstadoCuenta!$O$5:$O$30="Por cobrar",ROW(EstadoCuenta!$O$5:$O$30)),3),"")-4),"")</f>
        <v/>
      </c>
      <c r="C8" s="13">
        <f>IFERROR(INDEX(EstadoCuenta!$B$5:$B$30,IFERROR(SMALL(IF(EstadoCuenta!$O$5:$O$30="Por cobrar",ROW(EstadoCuenta!$O$5:$O$30)),3),"")-4),"")</f>
        <v/>
      </c>
      <c r="D8" s="13">
        <f>IFERROR(INDEX(EstadoCuenta!$C$5:$C$30,IFERROR(SMALL(IF(EstadoCuenta!$O$5:$O$30="Por cobrar",ROW(EstadoCuenta!$O$5:$O$30)),3),"")-4),"")</f>
        <v/>
      </c>
      <c r="E8" s="14">
        <f>IFERROR(INDEX(EstadoCuenta!$E$5:$E$30,IFERROR(SMALL(IF(EstadoCuenta!$O$5:$O$30="Por cobrar",ROW(EstadoCuenta!$O$5:$O$30)),3),"")-4),"")</f>
        <v/>
      </c>
      <c r="F8" s="15">
        <f>IFERROR(INDEX(EstadoCuenta!$M$5:$M$30,IFERROR(SMALL(IF(EstadoCuenta!$O$5:$O$30="Por cobrar",ROW(EstadoCuenta!$O$5:$O$30)),3),"")-4),"")</f>
        <v/>
      </c>
      <c r="G8" s="16">
        <f>IFERROR(INDEX(EstadoCuenta!$N$5:$N$30,IFERROR(SMALL(IF(EstadoCuenta!$O$5:$O$30="Por cobrar",ROW(EstadoCuenta!$O$5:$O$30)),3),"")-4),"")</f>
        <v/>
      </c>
      <c r="H8" s="14">
        <f>IFERROR(INDEX(EstadoCuenta!$L$5:$L$30,IFERROR(SMALL(IF(EstadoCuenta!$O$5:$O$30="Por cobrar",ROW(EstadoCuenta!$O$5:$O$30)),3),"")-4),"")</f>
        <v/>
      </c>
      <c r="I8" s="13">
        <f>IFERROR(VLOOKUP(B8,Suscripciones!$A$5:$L$30,12,FALSE),"")</f>
        <v/>
      </c>
    </row>
    <row r="9">
      <c r="A9" s="13">
        <f>IFERROR(INDEX(EstadoCuenta!$O$5:$O$30,IFERROR(SMALL(IF(EstadoCuenta!$O$5:$O$30="Por cobrar",ROW(EstadoCuenta!$O$5:$O$30)),4),"")-4),"")</f>
        <v/>
      </c>
      <c r="B9" s="13">
        <f>IFERROR(INDEX(EstadoCuenta!$A$5:$A$30,IFERROR(SMALL(IF(EstadoCuenta!$O$5:$O$30="Por cobrar",ROW(EstadoCuenta!$O$5:$O$30)),4),"")-4),"")</f>
        <v/>
      </c>
      <c r="C9" s="13">
        <f>IFERROR(INDEX(EstadoCuenta!$B$5:$B$30,IFERROR(SMALL(IF(EstadoCuenta!$O$5:$O$30="Por cobrar",ROW(EstadoCuenta!$O$5:$O$30)),4),"")-4),"")</f>
        <v/>
      </c>
      <c r="D9" s="13">
        <f>IFERROR(INDEX(EstadoCuenta!$C$5:$C$30,IFERROR(SMALL(IF(EstadoCuenta!$O$5:$O$30="Por cobrar",ROW(EstadoCuenta!$O$5:$O$30)),4),"")-4),"")</f>
        <v/>
      </c>
      <c r="E9" s="14">
        <f>IFERROR(INDEX(EstadoCuenta!$E$5:$E$30,IFERROR(SMALL(IF(EstadoCuenta!$O$5:$O$30="Por cobrar",ROW(EstadoCuenta!$O$5:$O$30)),4),"")-4),"")</f>
        <v/>
      </c>
      <c r="F9" s="15">
        <f>IFERROR(INDEX(EstadoCuenta!$M$5:$M$30,IFERROR(SMALL(IF(EstadoCuenta!$O$5:$O$30="Por cobrar",ROW(EstadoCuenta!$O$5:$O$30)),4),"")-4),"")</f>
        <v/>
      </c>
      <c r="G9" s="16">
        <f>IFERROR(INDEX(EstadoCuenta!$N$5:$N$30,IFERROR(SMALL(IF(EstadoCuenta!$O$5:$O$30="Por cobrar",ROW(EstadoCuenta!$O$5:$O$30)),4),"")-4),"")</f>
        <v/>
      </c>
      <c r="H9" s="14">
        <f>IFERROR(INDEX(EstadoCuenta!$L$5:$L$30,IFERROR(SMALL(IF(EstadoCuenta!$O$5:$O$30="Por cobrar",ROW(EstadoCuenta!$O$5:$O$30)),4),"")-4),"")</f>
        <v/>
      </c>
      <c r="I9" s="13">
        <f>IFERROR(VLOOKUP(B9,Suscripciones!$A$5:$L$30,12,FALSE),"")</f>
        <v/>
      </c>
    </row>
    <row r="10">
      <c r="A10" s="13">
        <f>IFERROR(INDEX(EstadoCuenta!$O$5:$O$30,IFERROR(SMALL(IF(EstadoCuenta!$O$5:$O$30="Por cobrar",ROW(EstadoCuenta!$O$5:$O$30)),5),"")-4),"")</f>
        <v/>
      </c>
      <c r="B10" s="13">
        <f>IFERROR(INDEX(EstadoCuenta!$A$5:$A$30,IFERROR(SMALL(IF(EstadoCuenta!$O$5:$O$30="Por cobrar",ROW(EstadoCuenta!$O$5:$O$30)),5),"")-4),"")</f>
        <v/>
      </c>
      <c r="C10" s="13">
        <f>IFERROR(INDEX(EstadoCuenta!$B$5:$B$30,IFERROR(SMALL(IF(EstadoCuenta!$O$5:$O$30="Por cobrar",ROW(EstadoCuenta!$O$5:$O$30)),5),"")-4),"")</f>
        <v/>
      </c>
      <c r="D10" s="13">
        <f>IFERROR(INDEX(EstadoCuenta!$C$5:$C$30,IFERROR(SMALL(IF(EstadoCuenta!$O$5:$O$30="Por cobrar",ROW(EstadoCuenta!$O$5:$O$30)),5),"")-4),"")</f>
        <v/>
      </c>
      <c r="E10" s="14">
        <f>IFERROR(INDEX(EstadoCuenta!$E$5:$E$30,IFERROR(SMALL(IF(EstadoCuenta!$O$5:$O$30="Por cobrar",ROW(EstadoCuenta!$O$5:$O$30)),5),"")-4),"")</f>
        <v/>
      </c>
      <c r="F10" s="15">
        <f>IFERROR(INDEX(EstadoCuenta!$M$5:$M$30,IFERROR(SMALL(IF(EstadoCuenta!$O$5:$O$30="Por cobrar",ROW(EstadoCuenta!$O$5:$O$30)),5),"")-4),"")</f>
        <v/>
      </c>
      <c r="G10" s="16">
        <f>IFERROR(INDEX(EstadoCuenta!$N$5:$N$30,IFERROR(SMALL(IF(EstadoCuenta!$O$5:$O$30="Por cobrar",ROW(EstadoCuenta!$O$5:$O$30)),5),"")-4),"")</f>
        <v/>
      </c>
      <c r="H10" s="14">
        <f>IFERROR(INDEX(EstadoCuenta!$L$5:$L$30,IFERROR(SMALL(IF(EstadoCuenta!$O$5:$O$30="Por cobrar",ROW(EstadoCuenta!$O$5:$O$30)),5),"")-4),"")</f>
        <v/>
      </c>
      <c r="I10" s="13">
        <f>IFERROR(VLOOKUP(B10,Suscripciones!$A$5:$L$30,12,FALSE),"")</f>
        <v/>
      </c>
    </row>
    <row r="11">
      <c r="A11" s="13">
        <f>IFERROR(INDEX(EstadoCuenta!$O$5:$O$30,IFERROR(SMALL(IF(EstadoCuenta!$O$5:$O$30="Por cobrar",ROW(EstadoCuenta!$O$5:$O$30)),6),"")-4),"")</f>
        <v/>
      </c>
      <c r="B11" s="13">
        <f>IFERROR(INDEX(EstadoCuenta!$A$5:$A$30,IFERROR(SMALL(IF(EstadoCuenta!$O$5:$O$30="Por cobrar",ROW(EstadoCuenta!$O$5:$O$30)),6),"")-4),"")</f>
        <v/>
      </c>
      <c r="C11" s="13">
        <f>IFERROR(INDEX(EstadoCuenta!$B$5:$B$30,IFERROR(SMALL(IF(EstadoCuenta!$O$5:$O$30="Por cobrar",ROW(EstadoCuenta!$O$5:$O$30)),6),"")-4),"")</f>
        <v/>
      </c>
      <c r="D11" s="13">
        <f>IFERROR(INDEX(EstadoCuenta!$C$5:$C$30,IFERROR(SMALL(IF(EstadoCuenta!$O$5:$O$30="Por cobrar",ROW(EstadoCuenta!$O$5:$O$30)),6),"")-4),"")</f>
        <v/>
      </c>
      <c r="E11" s="14">
        <f>IFERROR(INDEX(EstadoCuenta!$E$5:$E$30,IFERROR(SMALL(IF(EstadoCuenta!$O$5:$O$30="Por cobrar",ROW(EstadoCuenta!$O$5:$O$30)),6),"")-4),"")</f>
        <v/>
      </c>
      <c r="F11" s="15">
        <f>IFERROR(INDEX(EstadoCuenta!$M$5:$M$30,IFERROR(SMALL(IF(EstadoCuenta!$O$5:$O$30="Por cobrar",ROW(EstadoCuenta!$O$5:$O$30)),6),"")-4),"")</f>
        <v/>
      </c>
      <c r="G11" s="16">
        <f>IFERROR(INDEX(EstadoCuenta!$N$5:$N$30,IFERROR(SMALL(IF(EstadoCuenta!$O$5:$O$30="Por cobrar",ROW(EstadoCuenta!$O$5:$O$30)),6),"")-4),"")</f>
        <v/>
      </c>
      <c r="H11" s="14">
        <f>IFERROR(INDEX(EstadoCuenta!$L$5:$L$30,IFERROR(SMALL(IF(EstadoCuenta!$O$5:$O$30="Por cobrar",ROW(EstadoCuenta!$O$5:$O$30)),6),"")-4),"")</f>
        <v/>
      </c>
      <c r="I11" s="13">
        <f>IFERROR(VLOOKUP(B11,Suscripciones!$A$5:$L$30,12,FALSE),"")</f>
        <v/>
      </c>
    </row>
    <row r="12">
      <c r="A12" s="13">
        <f>IFERROR(INDEX(EstadoCuenta!$O$5:$O$30,IFERROR(SMALL(IF(EstadoCuenta!$O$5:$O$30="Por cobrar",ROW(EstadoCuenta!$O$5:$O$30)),7),"")-4),"")</f>
        <v/>
      </c>
      <c r="B12" s="13">
        <f>IFERROR(INDEX(EstadoCuenta!$A$5:$A$30,IFERROR(SMALL(IF(EstadoCuenta!$O$5:$O$30="Por cobrar",ROW(EstadoCuenta!$O$5:$O$30)),7),"")-4),"")</f>
        <v/>
      </c>
      <c r="C12" s="13">
        <f>IFERROR(INDEX(EstadoCuenta!$B$5:$B$30,IFERROR(SMALL(IF(EstadoCuenta!$O$5:$O$30="Por cobrar",ROW(EstadoCuenta!$O$5:$O$30)),7),"")-4),"")</f>
        <v/>
      </c>
      <c r="D12" s="13">
        <f>IFERROR(INDEX(EstadoCuenta!$C$5:$C$30,IFERROR(SMALL(IF(EstadoCuenta!$O$5:$O$30="Por cobrar",ROW(EstadoCuenta!$O$5:$O$30)),7),"")-4),"")</f>
        <v/>
      </c>
      <c r="E12" s="14">
        <f>IFERROR(INDEX(EstadoCuenta!$E$5:$E$30,IFERROR(SMALL(IF(EstadoCuenta!$O$5:$O$30="Por cobrar",ROW(EstadoCuenta!$O$5:$O$30)),7),"")-4),"")</f>
        <v/>
      </c>
      <c r="F12" s="15">
        <f>IFERROR(INDEX(EstadoCuenta!$M$5:$M$30,IFERROR(SMALL(IF(EstadoCuenta!$O$5:$O$30="Por cobrar",ROW(EstadoCuenta!$O$5:$O$30)),7),"")-4),"")</f>
        <v/>
      </c>
      <c r="G12" s="16">
        <f>IFERROR(INDEX(EstadoCuenta!$N$5:$N$30,IFERROR(SMALL(IF(EstadoCuenta!$O$5:$O$30="Por cobrar",ROW(EstadoCuenta!$O$5:$O$30)),7),"")-4),"")</f>
        <v/>
      </c>
      <c r="H12" s="14">
        <f>IFERROR(INDEX(EstadoCuenta!$L$5:$L$30,IFERROR(SMALL(IF(EstadoCuenta!$O$5:$O$30="Por cobrar",ROW(EstadoCuenta!$O$5:$O$30)),7),"")-4),"")</f>
        <v/>
      </c>
      <c r="I12" s="13">
        <f>IFERROR(VLOOKUP(B12,Suscripciones!$A$5:$L$30,12,FALSE),"")</f>
        <v/>
      </c>
    </row>
    <row r="13">
      <c r="A13" s="13">
        <f>IFERROR(INDEX(EstadoCuenta!$O$5:$O$30,IFERROR(SMALL(IF(EstadoCuenta!$O$5:$O$30="Por cobrar",ROW(EstadoCuenta!$O$5:$O$30)),8),"")-4),"")</f>
        <v/>
      </c>
      <c r="B13" s="13">
        <f>IFERROR(INDEX(EstadoCuenta!$A$5:$A$30,IFERROR(SMALL(IF(EstadoCuenta!$O$5:$O$30="Por cobrar",ROW(EstadoCuenta!$O$5:$O$30)),8),"")-4),"")</f>
        <v/>
      </c>
      <c r="C13" s="13">
        <f>IFERROR(INDEX(EstadoCuenta!$B$5:$B$30,IFERROR(SMALL(IF(EstadoCuenta!$O$5:$O$30="Por cobrar",ROW(EstadoCuenta!$O$5:$O$30)),8),"")-4),"")</f>
        <v/>
      </c>
      <c r="D13" s="13">
        <f>IFERROR(INDEX(EstadoCuenta!$C$5:$C$30,IFERROR(SMALL(IF(EstadoCuenta!$O$5:$O$30="Por cobrar",ROW(EstadoCuenta!$O$5:$O$30)),8),"")-4),"")</f>
        <v/>
      </c>
      <c r="E13" s="14">
        <f>IFERROR(INDEX(EstadoCuenta!$E$5:$E$30,IFERROR(SMALL(IF(EstadoCuenta!$O$5:$O$30="Por cobrar",ROW(EstadoCuenta!$O$5:$O$30)),8),"")-4),"")</f>
        <v/>
      </c>
      <c r="F13" s="15">
        <f>IFERROR(INDEX(EstadoCuenta!$M$5:$M$30,IFERROR(SMALL(IF(EstadoCuenta!$O$5:$O$30="Por cobrar",ROW(EstadoCuenta!$O$5:$O$30)),8),"")-4),"")</f>
        <v/>
      </c>
      <c r="G13" s="16">
        <f>IFERROR(INDEX(EstadoCuenta!$N$5:$N$30,IFERROR(SMALL(IF(EstadoCuenta!$O$5:$O$30="Por cobrar",ROW(EstadoCuenta!$O$5:$O$30)),8),"")-4),"")</f>
        <v/>
      </c>
      <c r="H13" s="14">
        <f>IFERROR(INDEX(EstadoCuenta!$L$5:$L$30,IFERROR(SMALL(IF(EstadoCuenta!$O$5:$O$30="Por cobrar",ROW(EstadoCuenta!$O$5:$O$30)),8),"")-4),"")</f>
        <v/>
      </c>
      <c r="I13" s="13">
        <f>IFERROR(VLOOKUP(B13,Suscripciones!$A$5:$L$30,12,FALSE),"")</f>
        <v/>
      </c>
    </row>
    <row r="14">
      <c r="A14" s="13">
        <f>IFERROR(INDEX(EstadoCuenta!$O$5:$O$30,IFERROR(SMALL(IF(EstadoCuenta!$O$5:$O$30="Por cobrar",ROW(EstadoCuenta!$O$5:$O$30)),9),"")-4),"")</f>
        <v/>
      </c>
      <c r="B14" s="13">
        <f>IFERROR(INDEX(EstadoCuenta!$A$5:$A$30,IFERROR(SMALL(IF(EstadoCuenta!$O$5:$O$30="Por cobrar",ROW(EstadoCuenta!$O$5:$O$30)),9),"")-4),"")</f>
        <v/>
      </c>
      <c r="C14" s="13">
        <f>IFERROR(INDEX(EstadoCuenta!$B$5:$B$30,IFERROR(SMALL(IF(EstadoCuenta!$O$5:$O$30="Por cobrar",ROW(EstadoCuenta!$O$5:$O$30)),9),"")-4),"")</f>
        <v/>
      </c>
      <c r="D14" s="13">
        <f>IFERROR(INDEX(EstadoCuenta!$C$5:$C$30,IFERROR(SMALL(IF(EstadoCuenta!$O$5:$O$30="Por cobrar",ROW(EstadoCuenta!$O$5:$O$30)),9),"")-4),"")</f>
        <v/>
      </c>
      <c r="E14" s="14">
        <f>IFERROR(INDEX(EstadoCuenta!$E$5:$E$30,IFERROR(SMALL(IF(EstadoCuenta!$O$5:$O$30="Por cobrar",ROW(EstadoCuenta!$O$5:$O$30)),9),"")-4),"")</f>
        <v/>
      </c>
      <c r="F14" s="15">
        <f>IFERROR(INDEX(EstadoCuenta!$M$5:$M$30,IFERROR(SMALL(IF(EstadoCuenta!$O$5:$O$30="Por cobrar",ROW(EstadoCuenta!$O$5:$O$30)),9),"")-4),"")</f>
        <v/>
      </c>
      <c r="G14" s="16">
        <f>IFERROR(INDEX(EstadoCuenta!$N$5:$N$30,IFERROR(SMALL(IF(EstadoCuenta!$O$5:$O$30="Por cobrar",ROW(EstadoCuenta!$O$5:$O$30)),9),"")-4),"")</f>
        <v/>
      </c>
      <c r="H14" s="14">
        <f>IFERROR(INDEX(EstadoCuenta!$L$5:$L$30,IFERROR(SMALL(IF(EstadoCuenta!$O$5:$O$30="Por cobrar",ROW(EstadoCuenta!$O$5:$O$30)),9),"")-4),"")</f>
        <v/>
      </c>
      <c r="I14" s="13">
        <f>IFERROR(VLOOKUP(B14,Suscripciones!$A$5:$L$30,12,FALSE),"")</f>
        <v/>
      </c>
    </row>
    <row r="15">
      <c r="A15" s="13">
        <f>IFERROR(INDEX(EstadoCuenta!$O$5:$O$30,IFERROR(SMALL(IF(EstadoCuenta!$O$5:$O$30="Por cobrar",ROW(EstadoCuenta!$O$5:$O$30)),10),"")-4),"")</f>
        <v/>
      </c>
      <c r="B15" s="13">
        <f>IFERROR(INDEX(EstadoCuenta!$A$5:$A$30,IFERROR(SMALL(IF(EstadoCuenta!$O$5:$O$30="Por cobrar",ROW(EstadoCuenta!$O$5:$O$30)),10),"")-4),"")</f>
        <v/>
      </c>
      <c r="C15" s="13">
        <f>IFERROR(INDEX(EstadoCuenta!$B$5:$B$30,IFERROR(SMALL(IF(EstadoCuenta!$O$5:$O$30="Por cobrar",ROW(EstadoCuenta!$O$5:$O$30)),10),"")-4),"")</f>
        <v/>
      </c>
      <c r="D15" s="13">
        <f>IFERROR(INDEX(EstadoCuenta!$C$5:$C$30,IFERROR(SMALL(IF(EstadoCuenta!$O$5:$O$30="Por cobrar",ROW(EstadoCuenta!$O$5:$O$30)),10),"")-4),"")</f>
        <v/>
      </c>
      <c r="E15" s="14">
        <f>IFERROR(INDEX(EstadoCuenta!$E$5:$E$30,IFERROR(SMALL(IF(EstadoCuenta!$O$5:$O$30="Por cobrar",ROW(EstadoCuenta!$O$5:$O$30)),10),"")-4),"")</f>
        <v/>
      </c>
      <c r="F15" s="15">
        <f>IFERROR(INDEX(EstadoCuenta!$M$5:$M$30,IFERROR(SMALL(IF(EstadoCuenta!$O$5:$O$30="Por cobrar",ROW(EstadoCuenta!$O$5:$O$30)),10),"")-4),"")</f>
        <v/>
      </c>
      <c r="G15" s="16">
        <f>IFERROR(INDEX(EstadoCuenta!$N$5:$N$30,IFERROR(SMALL(IF(EstadoCuenta!$O$5:$O$30="Por cobrar",ROW(EstadoCuenta!$O$5:$O$30)),10),"")-4),"")</f>
        <v/>
      </c>
      <c r="H15" s="14">
        <f>IFERROR(INDEX(EstadoCuenta!$L$5:$L$30,IFERROR(SMALL(IF(EstadoCuenta!$O$5:$O$30="Por cobrar",ROW(EstadoCuenta!$O$5:$O$30)),10),"")-4),"")</f>
        <v/>
      </c>
      <c r="I15" s="13">
        <f>IFERROR(VLOOKUP(B15,Suscripciones!$A$5:$L$30,12,FALSE),"")</f>
        <v/>
      </c>
    </row>
    <row r="16">
      <c r="A16" s="13">
        <f>IFERROR(INDEX(EstadoCuenta!$O$5:$O$30,IFERROR(SMALL(IF(EstadoCuenta!$O$5:$O$30="Por cobrar",ROW(EstadoCuenta!$O$5:$O$30)),11),"")-4),"")</f>
        <v/>
      </c>
      <c r="B16" s="13">
        <f>IFERROR(INDEX(EstadoCuenta!$A$5:$A$30,IFERROR(SMALL(IF(EstadoCuenta!$O$5:$O$30="Por cobrar",ROW(EstadoCuenta!$O$5:$O$30)),11),"")-4),"")</f>
        <v/>
      </c>
      <c r="C16" s="13">
        <f>IFERROR(INDEX(EstadoCuenta!$B$5:$B$30,IFERROR(SMALL(IF(EstadoCuenta!$O$5:$O$30="Por cobrar",ROW(EstadoCuenta!$O$5:$O$30)),11),"")-4),"")</f>
        <v/>
      </c>
      <c r="D16" s="13">
        <f>IFERROR(INDEX(EstadoCuenta!$C$5:$C$30,IFERROR(SMALL(IF(EstadoCuenta!$O$5:$O$30="Por cobrar",ROW(EstadoCuenta!$O$5:$O$30)),11),"")-4),"")</f>
        <v/>
      </c>
      <c r="E16" s="14">
        <f>IFERROR(INDEX(EstadoCuenta!$E$5:$E$30,IFERROR(SMALL(IF(EstadoCuenta!$O$5:$O$30="Por cobrar",ROW(EstadoCuenta!$O$5:$O$30)),11),"")-4),"")</f>
        <v/>
      </c>
      <c r="F16" s="15">
        <f>IFERROR(INDEX(EstadoCuenta!$M$5:$M$30,IFERROR(SMALL(IF(EstadoCuenta!$O$5:$O$30="Por cobrar",ROW(EstadoCuenta!$O$5:$O$30)),11),"")-4),"")</f>
        <v/>
      </c>
      <c r="G16" s="16">
        <f>IFERROR(INDEX(EstadoCuenta!$N$5:$N$30,IFERROR(SMALL(IF(EstadoCuenta!$O$5:$O$30="Por cobrar",ROW(EstadoCuenta!$O$5:$O$30)),11),"")-4),"")</f>
        <v/>
      </c>
      <c r="H16" s="14">
        <f>IFERROR(INDEX(EstadoCuenta!$L$5:$L$30,IFERROR(SMALL(IF(EstadoCuenta!$O$5:$O$30="Por cobrar",ROW(EstadoCuenta!$O$5:$O$30)),11),"")-4),"")</f>
        <v/>
      </c>
      <c r="I16" s="13">
        <f>IFERROR(VLOOKUP(B16,Suscripciones!$A$5:$L$30,12,FALSE),"")</f>
        <v/>
      </c>
    </row>
    <row r="17">
      <c r="A17" s="13">
        <f>IFERROR(INDEX(EstadoCuenta!$O$5:$O$30,IFERROR(SMALL(IF(EstadoCuenta!$O$5:$O$30="Por cobrar",ROW(EstadoCuenta!$O$5:$O$30)),12),"")-4),"")</f>
        <v/>
      </c>
      <c r="B17" s="13">
        <f>IFERROR(INDEX(EstadoCuenta!$A$5:$A$30,IFERROR(SMALL(IF(EstadoCuenta!$O$5:$O$30="Por cobrar",ROW(EstadoCuenta!$O$5:$O$30)),12),"")-4),"")</f>
        <v/>
      </c>
      <c r="C17" s="13">
        <f>IFERROR(INDEX(EstadoCuenta!$B$5:$B$30,IFERROR(SMALL(IF(EstadoCuenta!$O$5:$O$30="Por cobrar",ROW(EstadoCuenta!$O$5:$O$30)),12),"")-4),"")</f>
        <v/>
      </c>
      <c r="D17" s="13">
        <f>IFERROR(INDEX(EstadoCuenta!$C$5:$C$30,IFERROR(SMALL(IF(EstadoCuenta!$O$5:$O$30="Por cobrar",ROW(EstadoCuenta!$O$5:$O$30)),12),"")-4),"")</f>
        <v/>
      </c>
      <c r="E17" s="14">
        <f>IFERROR(INDEX(EstadoCuenta!$E$5:$E$30,IFERROR(SMALL(IF(EstadoCuenta!$O$5:$O$30="Por cobrar",ROW(EstadoCuenta!$O$5:$O$30)),12),"")-4),"")</f>
        <v/>
      </c>
      <c r="F17" s="15">
        <f>IFERROR(INDEX(EstadoCuenta!$M$5:$M$30,IFERROR(SMALL(IF(EstadoCuenta!$O$5:$O$30="Por cobrar",ROW(EstadoCuenta!$O$5:$O$30)),12),"")-4),"")</f>
        <v/>
      </c>
      <c r="G17" s="16">
        <f>IFERROR(INDEX(EstadoCuenta!$N$5:$N$30,IFERROR(SMALL(IF(EstadoCuenta!$O$5:$O$30="Por cobrar",ROW(EstadoCuenta!$O$5:$O$30)),12),"")-4),"")</f>
        <v/>
      </c>
      <c r="H17" s="14">
        <f>IFERROR(INDEX(EstadoCuenta!$L$5:$L$30,IFERROR(SMALL(IF(EstadoCuenta!$O$5:$O$30="Por cobrar",ROW(EstadoCuenta!$O$5:$O$30)),12),"")-4),"")</f>
        <v/>
      </c>
      <c r="I17" s="13">
        <f>IFERROR(VLOOKUP(B17,Suscripciones!$A$5:$L$30,12,FALSE),"")</f>
        <v/>
      </c>
    </row>
    <row r="19">
      <c r="A19" s="17" t="inlineStr">
        <is>
          <t>▼ EN MORA</t>
        </is>
      </c>
    </row>
    <row r="20" ht="30" customHeight="1">
      <c r="A20" s="4" t="inlineStr">
        <is>
          <t>Estado</t>
        </is>
      </c>
      <c r="B20" s="4" t="inlineStr">
        <is>
          <t>ID Sub</t>
        </is>
      </c>
      <c r="C20" s="4" t="inlineStr">
        <is>
          <t>Cliente</t>
        </is>
      </c>
      <c r="D20" s="4" t="inlineStr">
        <is>
          <t>Plan</t>
        </is>
      </c>
      <c r="E20" s="4" t="inlineStr">
        <is>
          <t>Precio</t>
        </is>
      </c>
      <c r="F20" s="4" t="inlineStr">
        <is>
          <t>Próx. cobro</t>
        </is>
      </c>
      <c r="G20" s="4" t="inlineStr">
        <is>
          <t>Días mora</t>
        </is>
      </c>
      <c r="H20" s="4" t="inlineStr">
        <is>
          <t>Saldo</t>
        </is>
      </c>
      <c r="I20" s="4" t="inlineStr">
        <is>
          <t>Método pago</t>
        </is>
      </c>
    </row>
    <row r="21">
      <c r="A21" s="13">
        <f>IFERROR(INDEX(EstadoCuenta!$O$5:$O$30,IFERROR(SMALL(IF(EstadoCuenta!$O$5:$O$30="En mora",ROW(EstadoCuenta!$O$5:$O$30)),1),"")-4),"")</f>
        <v/>
      </c>
      <c r="B21" s="13">
        <f>IFERROR(INDEX(EstadoCuenta!$A$5:$A$30,IFERROR(SMALL(IF(EstadoCuenta!$O$5:$O$30="En mora",ROW(EstadoCuenta!$O$5:$O$30)),1),"")-4),"")</f>
        <v/>
      </c>
      <c r="C21" s="13">
        <f>IFERROR(INDEX(EstadoCuenta!$B$5:$B$30,IFERROR(SMALL(IF(EstadoCuenta!$O$5:$O$30="En mora",ROW(EstadoCuenta!$O$5:$O$30)),1),"")-4),"")</f>
        <v/>
      </c>
      <c r="D21" s="13">
        <f>IFERROR(INDEX(EstadoCuenta!$C$5:$C$30,IFERROR(SMALL(IF(EstadoCuenta!$O$5:$O$30="En mora",ROW(EstadoCuenta!$O$5:$O$30)),1),"")-4),"")</f>
        <v/>
      </c>
      <c r="E21" s="14">
        <f>IFERROR(INDEX(EstadoCuenta!$E$5:$E$30,IFERROR(SMALL(IF(EstadoCuenta!$O$5:$O$30="En mora",ROW(EstadoCuenta!$O$5:$O$30)),1),"")-4),"")</f>
        <v/>
      </c>
      <c r="F21" s="15">
        <f>IFERROR(INDEX(EstadoCuenta!$M$5:$M$30,IFERROR(SMALL(IF(EstadoCuenta!$O$5:$O$30="En mora",ROW(EstadoCuenta!$O$5:$O$30)),1),"")-4),"")</f>
        <v/>
      </c>
      <c r="G21" s="16">
        <f>IFERROR(INDEX(EstadoCuenta!$N$5:$N$30,IFERROR(SMALL(IF(EstadoCuenta!$O$5:$O$30="En mora",ROW(EstadoCuenta!$O$5:$O$30)),1),"")-4),"")</f>
        <v/>
      </c>
      <c r="H21" s="14">
        <f>IFERROR(INDEX(EstadoCuenta!$L$5:$L$30,IFERROR(SMALL(IF(EstadoCuenta!$O$5:$O$30="En mora",ROW(EstadoCuenta!$O$5:$O$30)),1),"")-4),"")</f>
        <v/>
      </c>
      <c r="I21" s="13">
        <f>IFERROR(VLOOKUP(B21,Suscripciones!$A$5:$L$30,12,FALSE),"")</f>
        <v/>
      </c>
    </row>
    <row r="22">
      <c r="A22" s="13">
        <f>IFERROR(INDEX(EstadoCuenta!$O$5:$O$30,IFERROR(SMALL(IF(EstadoCuenta!$O$5:$O$30="En mora",ROW(EstadoCuenta!$O$5:$O$30)),2),"")-4),"")</f>
        <v/>
      </c>
      <c r="B22" s="13">
        <f>IFERROR(INDEX(EstadoCuenta!$A$5:$A$30,IFERROR(SMALL(IF(EstadoCuenta!$O$5:$O$30="En mora",ROW(EstadoCuenta!$O$5:$O$30)),2),"")-4),"")</f>
        <v/>
      </c>
      <c r="C22" s="13">
        <f>IFERROR(INDEX(EstadoCuenta!$B$5:$B$30,IFERROR(SMALL(IF(EstadoCuenta!$O$5:$O$30="En mora",ROW(EstadoCuenta!$O$5:$O$30)),2),"")-4),"")</f>
        <v/>
      </c>
      <c r="D22" s="13">
        <f>IFERROR(INDEX(EstadoCuenta!$C$5:$C$30,IFERROR(SMALL(IF(EstadoCuenta!$O$5:$O$30="En mora",ROW(EstadoCuenta!$O$5:$O$30)),2),"")-4),"")</f>
        <v/>
      </c>
      <c r="E22" s="14">
        <f>IFERROR(INDEX(EstadoCuenta!$E$5:$E$30,IFERROR(SMALL(IF(EstadoCuenta!$O$5:$O$30="En mora",ROW(EstadoCuenta!$O$5:$O$30)),2),"")-4),"")</f>
        <v/>
      </c>
      <c r="F22" s="15">
        <f>IFERROR(INDEX(EstadoCuenta!$M$5:$M$30,IFERROR(SMALL(IF(EstadoCuenta!$O$5:$O$30="En mora",ROW(EstadoCuenta!$O$5:$O$30)),2),"")-4),"")</f>
        <v/>
      </c>
      <c r="G22" s="16">
        <f>IFERROR(INDEX(EstadoCuenta!$N$5:$N$30,IFERROR(SMALL(IF(EstadoCuenta!$O$5:$O$30="En mora",ROW(EstadoCuenta!$O$5:$O$30)),2),"")-4),"")</f>
        <v/>
      </c>
      <c r="H22" s="14">
        <f>IFERROR(INDEX(EstadoCuenta!$L$5:$L$30,IFERROR(SMALL(IF(EstadoCuenta!$O$5:$O$30="En mora",ROW(EstadoCuenta!$O$5:$O$30)),2),"")-4),"")</f>
        <v/>
      </c>
      <c r="I22" s="13">
        <f>IFERROR(VLOOKUP(B22,Suscripciones!$A$5:$L$30,12,FALSE),"")</f>
        <v/>
      </c>
    </row>
    <row r="23">
      <c r="A23" s="13">
        <f>IFERROR(INDEX(EstadoCuenta!$O$5:$O$30,IFERROR(SMALL(IF(EstadoCuenta!$O$5:$O$30="En mora",ROW(EstadoCuenta!$O$5:$O$30)),3),"")-4),"")</f>
        <v/>
      </c>
      <c r="B23" s="13">
        <f>IFERROR(INDEX(EstadoCuenta!$A$5:$A$30,IFERROR(SMALL(IF(EstadoCuenta!$O$5:$O$30="En mora",ROW(EstadoCuenta!$O$5:$O$30)),3),"")-4),"")</f>
        <v/>
      </c>
      <c r="C23" s="13">
        <f>IFERROR(INDEX(EstadoCuenta!$B$5:$B$30,IFERROR(SMALL(IF(EstadoCuenta!$O$5:$O$30="En mora",ROW(EstadoCuenta!$O$5:$O$30)),3),"")-4),"")</f>
        <v/>
      </c>
      <c r="D23" s="13">
        <f>IFERROR(INDEX(EstadoCuenta!$C$5:$C$30,IFERROR(SMALL(IF(EstadoCuenta!$O$5:$O$30="En mora",ROW(EstadoCuenta!$O$5:$O$30)),3),"")-4),"")</f>
        <v/>
      </c>
      <c r="E23" s="14">
        <f>IFERROR(INDEX(EstadoCuenta!$E$5:$E$30,IFERROR(SMALL(IF(EstadoCuenta!$O$5:$O$30="En mora",ROW(EstadoCuenta!$O$5:$O$30)),3),"")-4),"")</f>
        <v/>
      </c>
      <c r="F23" s="15">
        <f>IFERROR(INDEX(EstadoCuenta!$M$5:$M$30,IFERROR(SMALL(IF(EstadoCuenta!$O$5:$O$30="En mora",ROW(EstadoCuenta!$O$5:$O$30)),3),"")-4),"")</f>
        <v/>
      </c>
      <c r="G23" s="16">
        <f>IFERROR(INDEX(EstadoCuenta!$N$5:$N$30,IFERROR(SMALL(IF(EstadoCuenta!$O$5:$O$30="En mora",ROW(EstadoCuenta!$O$5:$O$30)),3),"")-4),"")</f>
        <v/>
      </c>
      <c r="H23" s="14">
        <f>IFERROR(INDEX(EstadoCuenta!$L$5:$L$30,IFERROR(SMALL(IF(EstadoCuenta!$O$5:$O$30="En mora",ROW(EstadoCuenta!$O$5:$O$30)),3),"")-4),"")</f>
        <v/>
      </c>
      <c r="I23" s="13">
        <f>IFERROR(VLOOKUP(B23,Suscripciones!$A$5:$L$30,12,FALSE),"")</f>
        <v/>
      </c>
    </row>
    <row r="24">
      <c r="A24" s="13">
        <f>IFERROR(INDEX(EstadoCuenta!$O$5:$O$30,IFERROR(SMALL(IF(EstadoCuenta!$O$5:$O$30="En mora",ROW(EstadoCuenta!$O$5:$O$30)),4),"")-4),"")</f>
        <v/>
      </c>
      <c r="B24" s="13">
        <f>IFERROR(INDEX(EstadoCuenta!$A$5:$A$30,IFERROR(SMALL(IF(EstadoCuenta!$O$5:$O$30="En mora",ROW(EstadoCuenta!$O$5:$O$30)),4),"")-4),"")</f>
        <v/>
      </c>
      <c r="C24" s="13">
        <f>IFERROR(INDEX(EstadoCuenta!$B$5:$B$30,IFERROR(SMALL(IF(EstadoCuenta!$O$5:$O$30="En mora",ROW(EstadoCuenta!$O$5:$O$30)),4),"")-4),"")</f>
        <v/>
      </c>
      <c r="D24" s="13">
        <f>IFERROR(INDEX(EstadoCuenta!$C$5:$C$30,IFERROR(SMALL(IF(EstadoCuenta!$O$5:$O$30="En mora",ROW(EstadoCuenta!$O$5:$O$30)),4),"")-4),"")</f>
        <v/>
      </c>
      <c r="E24" s="14">
        <f>IFERROR(INDEX(EstadoCuenta!$E$5:$E$30,IFERROR(SMALL(IF(EstadoCuenta!$O$5:$O$30="En mora",ROW(EstadoCuenta!$O$5:$O$30)),4),"")-4),"")</f>
        <v/>
      </c>
      <c r="F24" s="15">
        <f>IFERROR(INDEX(EstadoCuenta!$M$5:$M$30,IFERROR(SMALL(IF(EstadoCuenta!$O$5:$O$30="En mora",ROW(EstadoCuenta!$O$5:$O$30)),4),"")-4),"")</f>
        <v/>
      </c>
      <c r="G24" s="16">
        <f>IFERROR(INDEX(EstadoCuenta!$N$5:$N$30,IFERROR(SMALL(IF(EstadoCuenta!$O$5:$O$30="En mora",ROW(EstadoCuenta!$O$5:$O$30)),4),"")-4),"")</f>
        <v/>
      </c>
      <c r="H24" s="14">
        <f>IFERROR(INDEX(EstadoCuenta!$L$5:$L$30,IFERROR(SMALL(IF(EstadoCuenta!$O$5:$O$30="En mora",ROW(EstadoCuenta!$O$5:$O$30)),4),"")-4),"")</f>
        <v/>
      </c>
      <c r="I24" s="13">
        <f>IFERROR(VLOOKUP(B24,Suscripciones!$A$5:$L$30,12,FALSE),"")</f>
        <v/>
      </c>
    </row>
    <row r="25">
      <c r="A25" s="13">
        <f>IFERROR(INDEX(EstadoCuenta!$O$5:$O$30,IFERROR(SMALL(IF(EstadoCuenta!$O$5:$O$30="En mora",ROW(EstadoCuenta!$O$5:$O$30)),5),"")-4),"")</f>
        <v/>
      </c>
      <c r="B25" s="13">
        <f>IFERROR(INDEX(EstadoCuenta!$A$5:$A$30,IFERROR(SMALL(IF(EstadoCuenta!$O$5:$O$30="En mora",ROW(EstadoCuenta!$O$5:$O$30)),5),"")-4),"")</f>
        <v/>
      </c>
      <c r="C25" s="13">
        <f>IFERROR(INDEX(EstadoCuenta!$B$5:$B$30,IFERROR(SMALL(IF(EstadoCuenta!$O$5:$O$30="En mora",ROW(EstadoCuenta!$O$5:$O$30)),5),"")-4),"")</f>
        <v/>
      </c>
      <c r="D25" s="13">
        <f>IFERROR(INDEX(EstadoCuenta!$C$5:$C$30,IFERROR(SMALL(IF(EstadoCuenta!$O$5:$O$30="En mora",ROW(EstadoCuenta!$O$5:$O$30)),5),"")-4),"")</f>
        <v/>
      </c>
      <c r="E25" s="14">
        <f>IFERROR(INDEX(EstadoCuenta!$E$5:$E$30,IFERROR(SMALL(IF(EstadoCuenta!$O$5:$O$30="En mora",ROW(EstadoCuenta!$O$5:$O$30)),5),"")-4),"")</f>
        <v/>
      </c>
      <c r="F25" s="15">
        <f>IFERROR(INDEX(EstadoCuenta!$M$5:$M$30,IFERROR(SMALL(IF(EstadoCuenta!$O$5:$O$30="En mora",ROW(EstadoCuenta!$O$5:$O$30)),5),"")-4),"")</f>
        <v/>
      </c>
      <c r="G25" s="16">
        <f>IFERROR(INDEX(EstadoCuenta!$N$5:$N$30,IFERROR(SMALL(IF(EstadoCuenta!$O$5:$O$30="En mora",ROW(EstadoCuenta!$O$5:$O$30)),5),"")-4),"")</f>
        <v/>
      </c>
      <c r="H25" s="14">
        <f>IFERROR(INDEX(EstadoCuenta!$L$5:$L$30,IFERROR(SMALL(IF(EstadoCuenta!$O$5:$O$30="En mora",ROW(EstadoCuenta!$O$5:$O$30)),5),"")-4),"")</f>
        <v/>
      </c>
      <c r="I25" s="13">
        <f>IFERROR(VLOOKUP(B25,Suscripciones!$A$5:$L$30,12,FALSE),"")</f>
        <v/>
      </c>
    </row>
    <row r="26">
      <c r="A26" s="13">
        <f>IFERROR(INDEX(EstadoCuenta!$O$5:$O$30,IFERROR(SMALL(IF(EstadoCuenta!$O$5:$O$30="En mora",ROW(EstadoCuenta!$O$5:$O$30)),6),"")-4),"")</f>
        <v/>
      </c>
      <c r="B26" s="13">
        <f>IFERROR(INDEX(EstadoCuenta!$A$5:$A$30,IFERROR(SMALL(IF(EstadoCuenta!$O$5:$O$30="En mora",ROW(EstadoCuenta!$O$5:$O$30)),6),"")-4),"")</f>
        <v/>
      </c>
      <c r="C26" s="13">
        <f>IFERROR(INDEX(EstadoCuenta!$B$5:$B$30,IFERROR(SMALL(IF(EstadoCuenta!$O$5:$O$30="En mora",ROW(EstadoCuenta!$O$5:$O$30)),6),"")-4),"")</f>
        <v/>
      </c>
      <c r="D26" s="13">
        <f>IFERROR(INDEX(EstadoCuenta!$C$5:$C$30,IFERROR(SMALL(IF(EstadoCuenta!$O$5:$O$30="En mora",ROW(EstadoCuenta!$O$5:$O$30)),6),"")-4),"")</f>
        <v/>
      </c>
      <c r="E26" s="14">
        <f>IFERROR(INDEX(EstadoCuenta!$E$5:$E$30,IFERROR(SMALL(IF(EstadoCuenta!$O$5:$O$30="En mora",ROW(EstadoCuenta!$O$5:$O$30)),6),"")-4),"")</f>
        <v/>
      </c>
      <c r="F26" s="15">
        <f>IFERROR(INDEX(EstadoCuenta!$M$5:$M$30,IFERROR(SMALL(IF(EstadoCuenta!$O$5:$O$30="En mora",ROW(EstadoCuenta!$O$5:$O$30)),6),"")-4),"")</f>
        <v/>
      </c>
      <c r="G26" s="16">
        <f>IFERROR(INDEX(EstadoCuenta!$N$5:$N$30,IFERROR(SMALL(IF(EstadoCuenta!$O$5:$O$30="En mora",ROW(EstadoCuenta!$O$5:$O$30)),6),"")-4),"")</f>
        <v/>
      </c>
      <c r="H26" s="14">
        <f>IFERROR(INDEX(EstadoCuenta!$L$5:$L$30,IFERROR(SMALL(IF(EstadoCuenta!$O$5:$O$30="En mora",ROW(EstadoCuenta!$O$5:$O$30)),6),"")-4),"")</f>
        <v/>
      </c>
      <c r="I26" s="13">
        <f>IFERROR(VLOOKUP(B26,Suscripciones!$A$5:$L$30,12,FALSE),"")</f>
        <v/>
      </c>
    </row>
    <row r="27">
      <c r="A27" s="13">
        <f>IFERROR(INDEX(EstadoCuenta!$O$5:$O$30,IFERROR(SMALL(IF(EstadoCuenta!$O$5:$O$30="En mora",ROW(EstadoCuenta!$O$5:$O$30)),7),"")-4),"")</f>
        <v/>
      </c>
      <c r="B27" s="13">
        <f>IFERROR(INDEX(EstadoCuenta!$A$5:$A$30,IFERROR(SMALL(IF(EstadoCuenta!$O$5:$O$30="En mora",ROW(EstadoCuenta!$O$5:$O$30)),7),"")-4),"")</f>
        <v/>
      </c>
      <c r="C27" s="13">
        <f>IFERROR(INDEX(EstadoCuenta!$B$5:$B$30,IFERROR(SMALL(IF(EstadoCuenta!$O$5:$O$30="En mora",ROW(EstadoCuenta!$O$5:$O$30)),7),"")-4),"")</f>
        <v/>
      </c>
      <c r="D27" s="13">
        <f>IFERROR(INDEX(EstadoCuenta!$C$5:$C$30,IFERROR(SMALL(IF(EstadoCuenta!$O$5:$O$30="En mora",ROW(EstadoCuenta!$O$5:$O$30)),7),"")-4),"")</f>
        <v/>
      </c>
      <c r="E27" s="14">
        <f>IFERROR(INDEX(EstadoCuenta!$E$5:$E$30,IFERROR(SMALL(IF(EstadoCuenta!$O$5:$O$30="En mora",ROW(EstadoCuenta!$O$5:$O$30)),7),"")-4),"")</f>
        <v/>
      </c>
      <c r="F27" s="15">
        <f>IFERROR(INDEX(EstadoCuenta!$M$5:$M$30,IFERROR(SMALL(IF(EstadoCuenta!$O$5:$O$30="En mora",ROW(EstadoCuenta!$O$5:$O$30)),7),"")-4),"")</f>
        <v/>
      </c>
      <c r="G27" s="16">
        <f>IFERROR(INDEX(EstadoCuenta!$N$5:$N$30,IFERROR(SMALL(IF(EstadoCuenta!$O$5:$O$30="En mora",ROW(EstadoCuenta!$O$5:$O$30)),7),"")-4),"")</f>
        <v/>
      </c>
      <c r="H27" s="14">
        <f>IFERROR(INDEX(EstadoCuenta!$L$5:$L$30,IFERROR(SMALL(IF(EstadoCuenta!$O$5:$O$30="En mora",ROW(EstadoCuenta!$O$5:$O$30)),7),"")-4),"")</f>
        <v/>
      </c>
      <c r="I27" s="13">
        <f>IFERROR(VLOOKUP(B27,Suscripciones!$A$5:$L$30,12,FALSE),"")</f>
        <v/>
      </c>
    </row>
    <row r="28">
      <c r="A28" s="13">
        <f>IFERROR(INDEX(EstadoCuenta!$O$5:$O$30,IFERROR(SMALL(IF(EstadoCuenta!$O$5:$O$30="En mora",ROW(EstadoCuenta!$O$5:$O$30)),8),"")-4),"")</f>
        <v/>
      </c>
      <c r="B28" s="13">
        <f>IFERROR(INDEX(EstadoCuenta!$A$5:$A$30,IFERROR(SMALL(IF(EstadoCuenta!$O$5:$O$30="En mora",ROW(EstadoCuenta!$O$5:$O$30)),8),"")-4),"")</f>
        <v/>
      </c>
      <c r="C28" s="13">
        <f>IFERROR(INDEX(EstadoCuenta!$B$5:$B$30,IFERROR(SMALL(IF(EstadoCuenta!$O$5:$O$30="En mora",ROW(EstadoCuenta!$O$5:$O$30)),8),"")-4),"")</f>
        <v/>
      </c>
      <c r="D28" s="13">
        <f>IFERROR(INDEX(EstadoCuenta!$C$5:$C$30,IFERROR(SMALL(IF(EstadoCuenta!$O$5:$O$30="En mora",ROW(EstadoCuenta!$O$5:$O$30)),8),"")-4),"")</f>
        <v/>
      </c>
      <c r="E28" s="14">
        <f>IFERROR(INDEX(EstadoCuenta!$E$5:$E$30,IFERROR(SMALL(IF(EstadoCuenta!$O$5:$O$30="En mora",ROW(EstadoCuenta!$O$5:$O$30)),8),"")-4),"")</f>
        <v/>
      </c>
      <c r="F28" s="15">
        <f>IFERROR(INDEX(EstadoCuenta!$M$5:$M$30,IFERROR(SMALL(IF(EstadoCuenta!$O$5:$O$30="En mora",ROW(EstadoCuenta!$O$5:$O$30)),8),"")-4),"")</f>
        <v/>
      </c>
      <c r="G28" s="16">
        <f>IFERROR(INDEX(EstadoCuenta!$N$5:$N$30,IFERROR(SMALL(IF(EstadoCuenta!$O$5:$O$30="En mora",ROW(EstadoCuenta!$O$5:$O$30)),8),"")-4),"")</f>
        <v/>
      </c>
      <c r="H28" s="14">
        <f>IFERROR(INDEX(EstadoCuenta!$L$5:$L$30,IFERROR(SMALL(IF(EstadoCuenta!$O$5:$O$30="En mora",ROW(EstadoCuenta!$O$5:$O$30)),8),"")-4),"")</f>
        <v/>
      </c>
      <c r="I28" s="13">
        <f>IFERROR(VLOOKUP(B28,Suscripciones!$A$5:$L$30,12,FALSE),"")</f>
        <v/>
      </c>
    </row>
    <row r="29">
      <c r="A29" s="13">
        <f>IFERROR(INDEX(EstadoCuenta!$O$5:$O$30,IFERROR(SMALL(IF(EstadoCuenta!$O$5:$O$30="En mora",ROW(EstadoCuenta!$O$5:$O$30)),9),"")-4),"")</f>
        <v/>
      </c>
      <c r="B29" s="13">
        <f>IFERROR(INDEX(EstadoCuenta!$A$5:$A$30,IFERROR(SMALL(IF(EstadoCuenta!$O$5:$O$30="En mora",ROW(EstadoCuenta!$O$5:$O$30)),9),"")-4),"")</f>
        <v/>
      </c>
      <c r="C29" s="13">
        <f>IFERROR(INDEX(EstadoCuenta!$B$5:$B$30,IFERROR(SMALL(IF(EstadoCuenta!$O$5:$O$30="En mora",ROW(EstadoCuenta!$O$5:$O$30)),9),"")-4),"")</f>
        <v/>
      </c>
      <c r="D29" s="13">
        <f>IFERROR(INDEX(EstadoCuenta!$C$5:$C$30,IFERROR(SMALL(IF(EstadoCuenta!$O$5:$O$30="En mora",ROW(EstadoCuenta!$O$5:$O$30)),9),"")-4),"")</f>
        <v/>
      </c>
      <c r="E29" s="14">
        <f>IFERROR(INDEX(EstadoCuenta!$E$5:$E$30,IFERROR(SMALL(IF(EstadoCuenta!$O$5:$O$30="En mora",ROW(EstadoCuenta!$O$5:$O$30)),9),"")-4),"")</f>
        <v/>
      </c>
      <c r="F29" s="15">
        <f>IFERROR(INDEX(EstadoCuenta!$M$5:$M$30,IFERROR(SMALL(IF(EstadoCuenta!$O$5:$O$30="En mora",ROW(EstadoCuenta!$O$5:$O$30)),9),"")-4),"")</f>
        <v/>
      </c>
      <c r="G29" s="16">
        <f>IFERROR(INDEX(EstadoCuenta!$N$5:$N$30,IFERROR(SMALL(IF(EstadoCuenta!$O$5:$O$30="En mora",ROW(EstadoCuenta!$O$5:$O$30)),9),"")-4),"")</f>
        <v/>
      </c>
      <c r="H29" s="14">
        <f>IFERROR(INDEX(EstadoCuenta!$L$5:$L$30,IFERROR(SMALL(IF(EstadoCuenta!$O$5:$O$30="En mora",ROW(EstadoCuenta!$O$5:$O$30)),9),"")-4),"")</f>
        <v/>
      </c>
      <c r="I29" s="13">
        <f>IFERROR(VLOOKUP(B29,Suscripciones!$A$5:$L$30,12,FALSE),"")</f>
        <v/>
      </c>
    </row>
    <row r="30">
      <c r="A30" s="13">
        <f>IFERROR(INDEX(EstadoCuenta!$O$5:$O$30,IFERROR(SMALL(IF(EstadoCuenta!$O$5:$O$30="En mora",ROW(EstadoCuenta!$O$5:$O$30)),10),"")-4),"")</f>
        <v/>
      </c>
      <c r="B30" s="13">
        <f>IFERROR(INDEX(EstadoCuenta!$A$5:$A$30,IFERROR(SMALL(IF(EstadoCuenta!$O$5:$O$30="En mora",ROW(EstadoCuenta!$O$5:$O$30)),10),"")-4),"")</f>
        <v/>
      </c>
      <c r="C30" s="13">
        <f>IFERROR(INDEX(EstadoCuenta!$B$5:$B$30,IFERROR(SMALL(IF(EstadoCuenta!$O$5:$O$30="En mora",ROW(EstadoCuenta!$O$5:$O$30)),10),"")-4),"")</f>
        <v/>
      </c>
      <c r="D30" s="13">
        <f>IFERROR(INDEX(EstadoCuenta!$C$5:$C$30,IFERROR(SMALL(IF(EstadoCuenta!$O$5:$O$30="En mora",ROW(EstadoCuenta!$O$5:$O$30)),10),"")-4),"")</f>
        <v/>
      </c>
      <c r="E30" s="14">
        <f>IFERROR(INDEX(EstadoCuenta!$E$5:$E$30,IFERROR(SMALL(IF(EstadoCuenta!$O$5:$O$30="En mora",ROW(EstadoCuenta!$O$5:$O$30)),10),"")-4),"")</f>
        <v/>
      </c>
      <c r="F30" s="15">
        <f>IFERROR(INDEX(EstadoCuenta!$M$5:$M$30,IFERROR(SMALL(IF(EstadoCuenta!$O$5:$O$30="En mora",ROW(EstadoCuenta!$O$5:$O$30)),10),"")-4),"")</f>
        <v/>
      </c>
      <c r="G30" s="16">
        <f>IFERROR(INDEX(EstadoCuenta!$N$5:$N$30,IFERROR(SMALL(IF(EstadoCuenta!$O$5:$O$30="En mora",ROW(EstadoCuenta!$O$5:$O$30)),10),"")-4),"")</f>
        <v/>
      </c>
      <c r="H30" s="14">
        <f>IFERROR(INDEX(EstadoCuenta!$L$5:$L$30,IFERROR(SMALL(IF(EstadoCuenta!$O$5:$O$30="En mora",ROW(EstadoCuenta!$O$5:$O$30)),10),"")-4),"")</f>
        <v/>
      </c>
      <c r="I30" s="13">
        <f>IFERROR(VLOOKUP(B30,Suscripciones!$A$5:$L$30,12,FALSE),"")</f>
        <v/>
      </c>
    </row>
    <row r="31">
      <c r="A31" s="13">
        <f>IFERROR(INDEX(EstadoCuenta!$O$5:$O$30,IFERROR(SMALL(IF(EstadoCuenta!$O$5:$O$30="En mora",ROW(EstadoCuenta!$O$5:$O$30)),11),"")-4),"")</f>
        <v/>
      </c>
      <c r="B31" s="13">
        <f>IFERROR(INDEX(EstadoCuenta!$A$5:$A$30,IFERROR(SMALL(IF(EstadoCuenta!$O$5:$O$30="En mora",ROW(EstadoCuenta!$O$5:$O$30)),11),"")-4),"")</f>
        <v/>
      </c>
      <c r="C31" s="13">
        <f>IFERROR(INDEX(EstadoCuenta!$B$5:$B$30,IFERROR(SMALL(IF(EstadoCuenta!$O$5:$O$30="En mora",ROW(EstadoCuenta!$O$5:$O$30)),11),"")-4),"")</f>
        <v/>
      </c>
      <c r="D31" s="13">
        <f>IFERROR(INDEX(EstadoCuenta!$C$5:$C$30,IFERROR(SMALL(IF(EstadoCuenta!$O$5:$O$30="En mora",ROW(EstadoCuenta!$O$5:$O$30)),11),"")-4),"")</f>
        <v/>
      </c>
      <c r="E31" s="14">
        <f>IFERROR(INDEX(EstadoCuenta!$E$5:$E$30,IFERROR(SMALL(IF(EstadoCuenta!$O$5:$O$30="En mora",ROW(EstadoCuenta!$O$5:$O$30)),11),"")-4),"")</f>
        <v/>
      </c>
      <c r="F31" s="15">
        <f>IFERROR(INDEX(EstadoCuenta!$M$5:$M$30,IFERROR(SMALL(IF(EstadoCuenta!$O$5:$O$30="En mora",ROW(EstadoCuenta!$O$5:$O$30)),11),"")-4),"")</f>
        <v/>
      </c>
      <c r="G31" s="16">
        <f>IFERROR(INDEX(EstadoCuenta!$N$5:$N$30,IFERROR(SMALL(IF(EstadoCuenta!$O$5:$O$30="En mora",ROW(EstadoCuenta!$O$5:$O$30)),11),"")-4),"")</f>
        <v/>
      </c>
      <c r="H31" s="14">
        <f>IFERROR(INDEX(EstadoCuenta!$L$5:$L$30,IFERROR(SMALL(IF(EstadoCuenta!$O$5:$O$30="En mora",ROW(EstadoCuenta!$O$5:$O$30)),11),"")-4),"")</f>
        <v/>
      </c>
      <c r="I31" s="13">
        <f>IFERROR(VLOOKUP(B31,Suscripciones!$A$5:$L$30,12,FALSE),"")</f>
        <v/>
      </c>
    </row>
    <row r="32">
      <c r="A32" s="13">
        <f>IFERROR(INDEX(EstadoCuenta!$O$5:$O$30,IFERROR(SMALL(IF(EstadoCuenta!$O$5:$O$30="En mora",ROW(EstadoCuenta!$O$5:$O$30)),12),"")-4),"")</f>
        <v/>
      </c>
      <c r="B32" s="13">
        <f>IFERROR(INDEX(EstadoCuenta!$A$5:$A$30,IFERROR(SMALL(IF(EstadoCuenta!$O$5:$O$30="En mora",ROW(EstadoCuenta!$O$5:$O$30)),12),"")-4),"")</f>
        <v/>
      </c>
      <c r="C32" s="13">
        <f>IFERROR(INDEX(EstadoCuenta!$B$5:$B$30,IFERROR(SMALL(IF(EstadoCuenta!$O$5:$O$30="En mora",ROW(EstadoCuenta!$O$5:$O$30)),12),"")-4),"")</f>
        <v/>
      </c>
      <c r="D32" s="13">
        <f>IFERROR(INDEX(EstadoCuenta!$C$5:$C$30,IFERROR(SMALL(IF(EstadoCuenta!$O$5:$O$30="En mora",ROW(EstadoCuenta!$O$5:$O$30)),12),"")-4),"")</f>
        <v/>
      </c>
      <c r="E32" s="14">
        <f>IFERROR(INDEX(EstadoCuenta!$E$5:$E$30,IFERROR(SMALL(IF(EstadoCuenta!$O$5:$O$30="En mora",ROW(EstadoCuenta!$O$5:$O$30)),12),"")-4),"")</f>
        <v/>
      </c>
      <c r="F32" s="15">
        <f>IFERROR(INDEX(EstadoCuenta!$M$5:$M$30,IFERROR(SMALL(IF(EstadoCuenta!$O$5:$O$30="En mora",ROW(EstadoCuenta!$O$5:$O$30)),12),"")-4),"")</f>
        <v/>
      </c>
      <c r="G32" s="16">
        <f>IFERROR(INDEX(EstadoCuenta!$N$5:$N$30,IFERROR(SMALL(IF(EstadoCuenta!$O$5:$O$30="En mora",ROW(EstadoCuenta!$O$5:$O$30)),12),"")-4),"")</f>
        <v/>
      </c>
      <c r="H32" s="14">
        <f>IFERROR(INDEX(EstadoCuenta!$L$5:$L$30,IFERROR(SMALL(IF(EstadoCuenta!$O$5:$O$30="En mora",ROW(EstadoCuenta!$O$5:$O$30)),12),"")-4),"")</f>
        <v/>
      </c>
      <c r="I32" s="13">
        <f>IFERROR(VLOOKUP(B32,Suscripciones!$A$5:$L$30,12,FALSE),"")</f>
        <v/>
      </c>
    </row>
  </sheetData>
  <mergeCells count="4">
    <mergeCell ref="A1:I1"/>
    <mergeCell ref="A4:I4"/>
    <mergeCell ref="A19:I19"/>
    <mergeCell ref="A2:I2"/>
  </mergeCells>
  <conditionalFormatting sqref="A6:A17">
    <cfRule type="expression" priority="1" dxfId="1">
      <formula>$A6="Por cobrar"</formula>
    </cfRule>
  </conditionalFormatting>
  <conditionalFormatting sqref="A21:A32">
    <cfRule type="expression" priority="2" dxfId="2">
      <formula>$A21="En mora"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 ht="40" customHeight="1">
      <c r="A1" s="1" t="inlineStr">
        <is>
          <t>🧾 ESTADO DE CUENTA</t>
        </is>
      </c>
    </row>
    <row r="2" ht="18" customHeight="1">
      <c r="A2" s="2" t="inlineStr">
        <is>
          <t>Saldo, mora y próximo cobro por suscripción · todo automático desde Suscripciones + Pagos</t>
        </is>
      </c>
    </row>
    <row r="4" ht="30" customHeight="1">
      <c r="A4" s="4" t="inlineStr">
        <is>
          <t>ID Sub</t>
        </is>
      </c>
      <c r="B4" s="4" t="inlineStr">
        <is>
          <t>Cliente</t>
        </is>
      </c>
      <c r="C4" s="4" t="inlineStr">
        <is>
          <t>Plan</t>
        </is>
      </c>
      <c r="D4" s="4" t="inlineStr">
        <is>
          <t>Periodicidad</t>
        </is>
      </c>
      <c r="E4" s="4" t="inlineStr">
        <is>
          <t>Precio</t>
        </is>
      </c>
      <c r="F4" s="4" t="inlineStr">
        <is>
          <t>Inicio</t>
        </is>
      </c>
      <c r="G4" s="4" t="inlineStr">
        <is>
          <t>Día cobro</t>
        </is>
      </c>
      <c r="H4" s="4" t="inlineStr">
        <is>
          <t>Cuotas esperadas</t>
        </is>
      </c>
      <c r="I4" s="4" t="inlineStr">
        <is>
          <t>Total facturado</t>
        </is>
      </c>
      <c r="J4" s="4" t="inlineStr">
        <is>
          <t>Cuotas pagadas</t>
        </is>
      </c>
      <c r="K4" s="4" t="inlineStr">
        <is>
          <t>Total pagado</t>
        </is>
      </c>
      <c r="L4" s="4" t="inlineStr">
        <is>
          <t>Saldo pendiente</t>
        </is>
      </c>
      <c r="M4" s="4" t="inlineStr">
        <is>
          <t>Próximo cobro</t>
        </is>
      </c>
      <c r="N4" s="4" t="inlineStr">
        <is>
          <t>Días para cobro</t>
        </is>
      </c>
      <c r="O4" s="4" t="inlineStr">
        <is>
          <t>Estado pago</t>
        </is>
      </c>
    </row>
    <row r="5">
      <c r="A5" s="13">
        <f>IF(Suscripciones!A5="","",Suscripciones!A5)</f>
        <v/>
      </c>
      <c r="B5" s="13">
        <f>IF(Suscripciones!A5="","",Suscripciones!C5)</f>
        <v/>
      </c>
      <c r="C5" s="13">
        <f>IF(Suscripciones!A5="","",Suscripciones!E5)</f>
        <v/>
      </c>
      <c r="D5" s="13">
        <f>IF(Suscripciones!A5="","",Suscripciones!F5)</f>
        <v/>
      </c>
      <c r="E5" s="18">
        <f>IF(Suscripciones!A5="","",Suscripciones!G5)</f>
        <v/>
      </c>
      <c r="F5" s="15">
        <f>IF(Suscripciones!A5="","",Suscripciones!H5)</f>
        <v/>
      </c>
      <c r="G5" s="19">
        <f>IF(Suscripciones!A5="","",Suscripciones!I5)</f>
        <v/>
      </c>
      <c r="H5" s="19">
        <f>IF(Suscripciones!A5="","",IF(Suscripciones!J5&lt;&gt;"Activa",0,IF(Suscripciones!F5="Anual",  MAX(0,DATEDIF(Suscripciones!H5,TODAY(),"Y")+1),  MAX(0,DATEDIF(Suscripciones!H5,TODAY(),"M")+1))))</f>
        <v/>
      </c>
      <c r="I5" s="18">
        <f>IF(A5="","",H5*E5)</f>
        <v/>
      </c>
      <c r="J5" s="20">
        <f>IF(A5="","",COUNTIFS(Pagos!C:C,A5))</f>
        <v/>
      </c>
      <c r="K5" s="18">
        <f>IF(A5="","",SUMIFS(Pagos!F:F,Pagos!C:C,A5))</f>
        <v/>
      </c>
      <c r="L5" s="18">
        <f>IF(A5="","",I5-K5)</f>
        <v/>
      </c>
      <c r="M5" s="15">
        <f>IF(A5="","",IF(Suscripciones!J5&lt;&gt;"Activa","",IF(D5="Anual",  DATE(YEAR(F5)+J5,MONTH(F5),DAY(F5)),  EDATE(F5,J5))))</f>
        <v/>
      </c>
      <c r="N5" s="16">
        <f>IF(OR(A5="",M5=""),"",M5-TODAY())</f>
        <v/>
      </c>
      <c r="O5" s="13">
        <f>IF(A5="","",IF(Suscripciones!J5&lt;&gt;"Activa",Suscripciones!J5,IF(L5&lt;=0,"Al día",IF(N5&lt;0,"En mora",IF(N5&lt;=7,"Por cobrar","Próximo")))))</f>
        <v/>
      </c>
    </row>
    <row r="6">
      <c r="A6" s="13">
        <f>IF(Suscripciones!A6="","",Suscripciones!A6)</f>
        <v/>
      </c>
      <c r="B6" s="13">
        <f>IF(Suscripciones!A6="","",Suscripciones!C6)</f>
        <v/>
      </c>
      <c r="C6" s="13">
        <f>IF(Suscripciones!A6="","",Suscripciones!E6)</f>
        <v/>
      </c>
      <c r="D6" s="13">
        <f>IF(Suscripciones!A6="","",Suscripciones!F6)</f>
        <v/>
      </c>
      <c r="E6" s="18">
        <f>IF(Suscripciones!A6="","",Suscripciones!G6)</f>
        <v/>
      </c>
      <c r="F6" s="15">
        <f>IF(Suscripciones!A6="","",Suscripciones!H6)</f>
        <v/>
      </c>
      <c r="G6" s="19">
        <f>IF(Suscripciones!A6="","",Suscripciones!I6)</f>
        <v/>
      </c>
      <c r="H6" s="19">
        <f>IF(Suscripciones!A6="","",IF(Suscripciones!J6&lt;&gt;"Activa",0,IF(Suscripciones!F6="Anual",  MAX(0,DATEDIF(Suscripciones!H6,TODAY(),"Y")+1),  MAX(0,DATEDIF(Suscripciones!H6,TODAY(),"M")+1))))</f>
        <v/>
      </c>
      <c r="I6" s="18">
        <f>IF(A6="","",H6*E6)</f>
        <v/>
      </c>
      <c r="J6" s="20">
        <f>IF(A6="","",COUNTIFS(Pagos!C:C,A6))</f>
        <v/>
      </c>
      <c r="K6" s="18">
        <f>IF(A6="","",SUMIFS(Pagos!F:F,Pagos!C:C,A6))</f>
        <v/>
      </c>
      <c r="L6" s="18">
        <f>IF(A6="","",I6-K6)</f>
        <v/>
      </c>
      <c r="M6" s="15">
        <f>IF(A6="","",IF(Suscripciones!J6&lt;&gt;"Activa","",IF(D6="Anual",  DATE(YEAR(F6)+J6,MONTH(F6),DAY(F6)),  EDATE(F6,J6))))</f>
        <v/>
      </c>
      <c r="N6" s="16">
        <f>IF(OR(A6="",M6=""),"",M6-TODAY())</f>
        <v/>
      </c>
      <c r="O6" s="13">
        <f>IF(A6="","",IF(Suscripciones!J6&lt;&gt;"Activa",Suscripciones!J6,IF(L6&lt;=0,"Al día",IF(N6&lt;0,"En mora",IF(N6&lt;=7,"Por cobrar","Próximo")))))</f>
        <v/>
      </c>
    </row>
    <row r="7">
      <c r="A7" s="13">
        <f>IF(Suscripciones!A7="","",Suscripciones!A7)</f>
        <v/>
      </c>
      <c r="B7" s="13">
        <f>IF(Suscripciones!A7="","",Suscripciones!C7)</f>
        <v/>
      </c>
      <c r="C7" s="13">
        <f>IF(Suscripciones!A7="","",Suscripciones!E7)</f>
        <v/>
      </c>
      <c r="D7" s="13">
        <f>IF(Suscripciones!A7="","",Suscripciones!F7)</f>
        <v/>
      </c>
      <c r="E7" s="18">
        <f>IF(Suscripciones!A7="","",Suscripciones!G7)</f>
        <v/>
      </c>
      <c r="F7" s="15">
        <f>IF(Suscripciones!A7="","",Suscripciones!H7)</f>
        <v/>
      </c>
      <c r="G7" s="19">
        <f>IF(Suscripciones!A7="","",Suscripciones!I7)</f>
        <v/>
      </c>
      <c r="H7" s="19">
        <f>IF(Suscripciones!A7="","",IF(Suscripciones!J7&lt;&gt;"Activa",0,IF(Suscripciones!F7="Anual",  MAX(0,DATEDIF(Suscripciones!H7,TODAY(),"Y")+1),  MAX(0,DATEDIF(Suscripciones!H7,TODAY(),"M")+1))))</f>
        <v/>
      </c>
      <c r="I7" s="18">
        <f>IF(A7="","",H7*E7)</f>
        <v/>
      </c>
      <c r="J7" s="20">
        <f>IF(A7="","",COUNTIFS(Pagos!C:C,A7))</f>
        <v/>
      </c>
      <c r="K7" s="18">
        <f>IF(A7="","",SUMIFS(Pagos!F:F,Pagos!C:C,A7))</f>
        <v/>
      </c>
      <c r="L7" s="18">
        <f>IF(A7="","",I7-K7)</f>
        <v/>
      </c>
      <c r="M7" s="15">
        <f>IF(A7="","",IF(Suscripciones!J7&lt;&gt;"Activa","",IF(D7="Anual",  DATE(YEAR(F7)+J7,MONTH(F7),DAY(F7)),  EDATE(F7,J7))))</f>
        <v/>
      </c>
      <c r="N7" s="16">
        <f>IF(OR(A7="",M7=""),"",M7-TODAY())</f>
        <v/>
      </c>
      <c r="O7" s="13">
        <f>IF(A7="","",IF(Suscripciones!J7&lt;&gt;"Activa",Suscripciones!J7,IF(L7&lt;=0,"Al día",IF(N7&lt;0,"En mora",IF(N7&lt;=7,"Por cobrar","Próximo")))))</f>
        <v/>
      </c>
    </row>
    <row r="8">
      <c r="A8" s="13">
        <f>IF(Suscripciones!A8="","",Suscripciones!A8)</f>
        <v/>
      </c>
      <c r="B8" s="13">
        <f>IF(Suscripciones!A8="","",Suscripciones!C8)</f>
        <v/>
      </c>
      <c r="C8" s="13">
        <f>IF(Suscripciones!A8="","",Suscripciones!E8)</f>
        <v/>
      </c>
      <c r="D8" s="13">
        <f>IF(Suscripciones!A8="","",Suscripciones!F8)</f>
        <v/>
      </c>
      <c r="E8" s="18">
        <f>IF(Suscripciones!A8="","",Suscripciones!G8)</f>
        <v/>
      </c>
      <c r="F8" s="15">
        <f>IF(Suscripciones!A8="","",Suscripciones!H8)</f>
        <v/>
      </c>
      <c r="G8" s="19">
        <f>IF(Suscripciones!A8="","",Suscripciones!I8)</f>
        <v/>
      </c>
      <c r="H8" s="19">
        <f>IF(Suscripciones!A8="","",IF(Suscripciones!J8&lt;&gt;"Activa",0,IF(Suscripciones!F8="Anual",  MAX(0,DATEDIF(Suscripciones!H8,TODAY(),"Y")+1),  MAX(0,DATEDIF(Suscripciones!H8,TODAY(),"M")+1))))</f>
        <v/>
      </c>
      <c r="I8" s="18">
        <f>IF(A8="","",H8*E8)</f>
        <v/>
      </c>
      <c r="J8" s="20">
        <f>IF(A8="","",COUNTIFS(Pagos!C:C,A8))</f>
        <v/>
      </c>
      <c r="K8" s="18">
        <f>IF(A8="","",SUMIFS(Pagos!F:F,Pagos!C:C,A8))</f>
        <v/>
      </c>
      <c r="L8" s="18">
        <f>IF(A8="","",I8-K8)</f>
        <v/>
      </c>
      <c r="M8" s="15">
        <f>IF(A8="","",IF(Suscripciones!J8&lt;&gt;"Activa","",IF(D8="Anual",  DATE(YEAR(F8)+J8,MONTH(F8),DAY(F8)),  EDATE(F8,J8))))</f>
        <v/>
      </c>
      <c r="N8" s="16">
        <f>IF(OR(A8="",M8=""),"",M8-TODAY())</f>
        <v/>
      </c>
      <c r="O8" s="13">
        <f>IF(A8="","",IF(Suscripciones!J8&lt;&gt;"Activa",Suscripciones!J8,IF(L8&lt;=0,"Al día",IF(N8&lt;0,"En mora",IF(N8&lt;=7,"Por cobrar","Próximo")))))</f>
        <v/>
      </c>
    </row>
    <row r="9">
      <c r="A9" s="13">
        <f>IF(Suscripciones!A9="","",Suscripciones!A9)</f>
        <v/>
      </c>
      <c r="B9" s="13">
        <f>IF(Suscripciones!A9="","",Suscripciones!C9)</f>
        <v/>
      </c>
      <c r="C9" s="13">
        <f>IF(Suscripciones!A9="","",Suscripciones!E9)</f>
        <v/>
      </c>
      <c r="D9" s="13">
        <f>IF(Suscripciones!A9="","",Suscripciones!F9)</f>
        <v/>
      </c>
      <c r="E9" s="18">
        <f>IF(Suscripciones!A9="","",Suscripciones!G9)</f>
        <v/>
      </c>
      <c r="F9" s="15">
        <f>IF(Suscripciones!A9="","",Suscripciones!H9)</f>
        <v/>
      </c>
      <c r="G9" s="19">
        <f>IF(Suscripciones!A9="","",Suscripciones!I9)</f>
        <v/>
      </c>
      <c r="H9" s="19">
        <f>IF(Suscripciones!A9="","",IF(Suscripciones!J9&lt;&gt;"Activa",0,IF(Suscripciones!F9="Anual",  MAX(0,DATEDIF(Suscripciones!H9,TODAY(),"Y")+1),  MAX(0,DATEDIF(Suscripciones!H9,TODAY(),"M")+1))))</f>
        <v/>
      </c>
      <c r="I9" s="18">
        <f>IF(A9="","",H9*E9)</f>
        <v/>
      </c>
      <c r="J9" s="20">
        <f>IF(A9="","",COUNTIFS(Pagos!C:C,A9))</f>
        <v/>
      </c>
      <c r="K9" s="18">
        <f>IF(A9="","",SUMIFS(Pagos!F:F,Pagos!C:C,A9))</f>
        <v/>
      </c>
      <c r="L9" s="18">
        <f>IF(A9="","",I9-K9)</f>
        <v/>
      </c>
      <c r="M9" s="15">
        <f>IF(A9="","",IF(Suscripciones!J9&lt;&gt;"Activa","",IF(D9="Anual",  DATE(YEAR(F9)+J9,MONTH(F9),DAY(F9)),  EDATE(F9,J9))))</f>
        <v/>
      </c>
      <c r="N9" s="16">
        <f>IF(OR(A9="",M9=""),"",M9-TODAY())</f>
        <v/>
      </c>
      <c r="O9" s="13">
        <f>IF(A9="","",IF(Suscripciones!J9&lt;&gt;"Activa",Suscripciones!J9,IF(L9&lt;=0,"Al día",IF(N9&lt;0,"En mora",IF(N9&lt;=7,"Por cobrar","Próximo")))))</f>
        <v/>
      </c>
    </row>
    <row r="10">
      <c r="A10" s="13">
        <f>IF(Suscripciones!A10="","",Suscripciones!A10)</f>
        <v/>
      </c>
      <c r="B10" s="13">
        <f>IF(Suscripciones!A10="","",Suscripciones!C10)</f>
        <v/>
      </c>
      <c r="C10" s="13">
        <f>IF(Suscripciones!A10="","",Suscripciones!E10)</f>
        <v/>
      </c>
      <c r="D10" s="13">
        <f>IF(Suscripciones!A10="","",Suscripciones!F10)</f>
        <v/>
      </c>
      <c r="E10" s="18">
        <f>IF(Suscripciones!A10="","",Suscripciones!G10)</f>
        <v/>
      </c>
      <c r="F10" s="15">
        <f>IF(Suscripciones!A10="","",Suscripciones!H10)</f>
        <v/>
      </c>
      <c r="G10" s="19">
        <f>IF(Suscripciones!A10="","",Suscripciones!I10)</f>
        <v/>
      </c>
      <c r="H10" s="19">
        <f>IF(Suscripciones!A10="","",IF(Suscripciones!J10&lt;&gt;"Activa",0,IF(Suscripciones!F10="Anual",  MAX(0,DATEDIF(Suscripciones!H10,TODAY(),"Y")+1),  MAX(0,DATEDIF(Suscripciones!H10,TODAY(),"M")+1))))</f>
        <v/>
      </c>
      <c r="I10" s="18">
        <f>IF(A10="","",H10*E10)</f>
        <v/>
      </c>
      <c r="J10" s="20">
        <f>IF(A10="","",COUNTIFS(Pagos!C:C,A10))</f>
        <v/>
      </c>
      <c r="K10" s="18">
        <f>IF(A10="","",SUMIFS(Pagos!F:F,Pagos!C:C,A10))</f>
        <v/>
      </c>
      <c r="L10" s="18">
        <f>IF(A10="","",I10-K10)</f>
        <v/>
      </c>
      <c r="M10" s="15">
        <f>IF(A10="","",IF(Suscripciones!J10&lt;&gt;"Activa","",IF(D10="Anual",  DATE(YEAR(F10)+J10,MONTH(F10),DAY(F10)),  EDATE(F10,J10))))</f>
        <v/>
      </c>
      <c r="N10" s="16">
        <f>IF(OR(A10="",M10=""),"",M10-TODAY())</f>
        <v/>
      </c>
      <c r="O10" s="13">
        <f>IF(A10="","",IF(Suscripciones!J10&lt;&gt;"Activa",Suscripciones!J10,IF(L10&lt;=0,"Al día",IF(N10&lt;0,"En mora",IF(N10&lt;=7,"Por cobrar","Próximo")))))</f>
        <v/>
      </c>
    </row>
    <row r="11">
      <c r="A11" s="13">
        <f>IF(Suscripciones!A11="","",Suscripciones!A11)</f>
        <v/>
      </c>
      <c r="B11" s="13">
        <f>IF(Suscripciones!A11="","",Suscripciones!C11)</f>
        <v/>
      </c>
      <c r="C11" s="13">
        <f>IF(Suscripciones!A11="","",Suscripciones!E11)</f>
        <v/>
      </c>
      <c r="D11" s="13">
        <f>IF(Suscripciones!A11="","",Suscripciones!F11)</f>
        <v/>
      </c>
      <c r="E11" s="18">
        <f>IF(Suscripciones!A11="","",Suscripciones!G11)</f>
        <v/>
      </c>
      <c r="F11" s="15">
        <f>IF(Suscripciones!A11="","",Suscripciones!H11)</f>
        <v/>
      </c>
      <c r="G11" s="19">
        <f>IF(Suscripciones!A11="","",Suscripciones!I11)</f>
        <v/>
      </c>
      <c r="H11" s="19">
        <f>IF(Suscripciones!A11="","",IF(Suscripciones!J11&lt;&gt;"Activa",0,IF(Suscripciones!F11="Anual",  MAX(0,DATEDIF(Suscripciones!H11,TODAY(),"Y")+1),  MAX(0,DATEDIF(Suscripciones!H11,TODAY(),"M")+1))))</f>
        <v/>
      </c>
      <c r="I11" s="18">
        <f>IF(A11="","",H11*E11)</f>
        <v/>
      </c>
      <c r="J11" s="20">
        <f>IF(A11="","",COUNTIFS(Pagos!C:C,A11))</f>
        <v/>
      </c>
      <c r="K11" s="18">
        <f>IF(A11="","",SUMIFS(Pagos!F:F,Pagos!C:C,A11))</f>
        <v/>
      </c>
      <c r="L11" s="18">
        <f>IF(A11="","",I11-K11)</f>
        <v/>
      </c>
      <c r="M11" s="15">
        <f>IF(A11="","",IF(Suscripciones!J11&lt;&gt;"Activa","",IF(D11="Anual",  DATE(YEAR(F11)+J11,MONTH(F11),DAY(F11)),  EDATE(F11,J11))))</f>
        <v/>
      </c>
      <c r="N11" s="16">
        <f>IF(OR(A11="",M11=""),"",M11-TODAY())</f>
        <v/>
      </c>
      <c r="O11" s="13">
        <f>IF(A11="","",IF(Suscripciones!J11&lt;&gt;"Activa",Suscripciones!J11,IF(L11&lt;=0,"Al día",IF(N11&lt;0,"En mora",IF(N11&lt;=7,"Por cobrar","Próximo")))))</f>
        <v/>
      </c>
    </row>
    <row r="12">
      <c r="A12" s="13">
        <f>IF(Suscripciones!A12="","",Suscripciones!A12)</f>
        <v/>
      </c>
      <c r="B12" s="13">
        <f>IF(Suscripciones!A12="","",Suscripciones!C12)</f>
        <v/>
      </c>
      <c r="C12" s="13">
        <f>IF(Suscripciones!A12="","",Suscripciones!E12)</f>
        <v/>
      </c>
      <c r="D12" s="13">
        <f>IF(Suscripciones!A12="","",Suscripciones!F12)</f>
        <v/>
      </c>
      <c r="E12" s="18">
        <f>IF(Suscripciones!A12="","",Suscripciones!G12)</f>
        <v/>
      </c>
      <c r="F12" s="15">
        <f>IF(Suscripciones!A12="","",Suscripciones!H12)</f>
        <v/>
      </c>
      <c r="G12" s="19">
        <f>IF(Suscripciones!A12="","",Suscripciones!I12)</f>
        <v/>
      </c>
      <c r="H12" s="19">
        <f>IF(Suscripciones!A12="","",IF(Suscripciones!J12&lt;&gt;"Activa",0,IF(Suscripciones!F12="Anual",  MAX(0,DATEDIF(Suscripciones!H12,TODAY(),"Y")+1),  MAX(0,DATEDIF(Suscripciones!H12,TODAY(),"M")+1))))</f>
        <v/>
      </c>
      <c r="I12" s="18">
        <f>IF(A12="","",H12*E12)</f>
        <v/>
      </c>
      <c r="J12" s="20">
        <f>IF(A12="","",COUNTIFS(Pagos!C:C,A12))</f>
        <v/>
      </c>
      <c r="K12" s="18">
        <f>IF(A12="","",SUMIFS(Pagos!F:F,Pagos!C:C,A12))</f>
        <v/>
      </c>
      <c r="L12" s="18">
        <f>IF(A12="","",I12-K12)</f>
        <v/>
      </c>
      <c r="M12" s="15">
        <f>IF(A12="","",IF(Suscripciones!J12&lt;&gt;"Activa","",IF(D12="Anual",  DATE(YEAR(F12)+J12,MONTH(F12),DAY(F12)),  EDATE(F12,J12))))</f>
        <v/>
      </c>
      <c r="N12" s="16">
        <f>IF(OR(A12="",M12=""),"",M12-TODAY())</f>
        <v/>
      </c>
      <c r="O12" s="13">
        <f>IF(A12="","",IF(Suscripciones!J12&lt;&gt;"Activa",Suscripciones!J12,IF(L12&lt;=0,"Al día",IF(N12&lt;0,"En mora",IF(N12&lt;=7,"Por cobrar","Próximo")))))</f>
        <v/>
      </c>
    </row>
    <row r="13">
      <c r="A13" s="13">
        <f>IF(Suscripciones!A13="","",Suscripciones!A13)</f>
        <v/>
      </c>
      <c r="B13" s="13">
        <f>IF(Suscripciones!A13="","",Suscripciones!C13)</f>
        <v/>
      </c>
      <c r="C13" s="13">
        <f>IF(Suscripciones!A13="","",Suscripciones!E13)</f>
        <v/>
      </c>
      <c r="D13" s="13">
        <f>IF(Suscripciones!A13="","",Suscripciones!F13)</f>
        <v/>
      </c>
      <c r="E13" s="18">
        <f>IF(Suscripciones!A13="","",Suscripciones!G13)</f>
        <v/>
      </c>
      <c r="F13" s="15">
        <f>IF(Suscripciones!A13="","",Suscripciones!H13)</f>
        <v/>
      </c>
      <c r="G13" s="19">
        <f>IF(Suscripciones!A13="","",Suscripciones!I13)</f>
        <v/>
      </c>
      <c r="H13" s="19">
        <f>IF(Suscripciones!A13="","",IF(Suscripciones!J13&lt;&gt;"Activa",0,IF(Suscripciones!F13="Anual",  MAX(0,DATEDIF(Suscripciones!H13,TODAY(),"Y")+1),  MAX(0,DATEDIF(Suscripciones!H13,TODAY(),"M")+1))))</f>
        <v/>
      </c>
      <c r="I13" s="18">
        <f>IF(A13="","",H13*E13)</f>
        <v/>
      </c>
      <c r="J13" s="20">
        <f>IF(A13="","",COUNTIFS(Pagos!C:C,A13))</f>
        <v/>
      </c>
      <c r="K13" s="18">
        <f>IF(A13="","",SUMIFS(Pagos!F:F,Pagos!C:C,A13))</f>
        <v/>
      </c>
      <c r="L13" s="18">
        <f>IF(A13="","",I13-K13)</f>
        <v/>
      </c>
      <c r="M13" s="15">
        <f>IF(A13="","",IF(Suscripciones!J13&lt;&gt;"Activa","",IF(D13="Anual",  DATE(YEAR(F13)+J13,MONTH(F13),DAY(F13)),  EDATE(F13,J13))))</f>
        <v/>
      </c>
      <c r="N13" s="16">
        <f>IF(OR(A13="",M13=""),"",M13-TODAY())</f>
        <v/>
      </c>
      <c r="O13" s="13">
        <f>IF(A13="","",IF(Suscripciones!J13&lt;&gt;"Activa",Suscripciones!J13,IF(L13&lt;=0,"Al día",IF(N13&lt;0,"En mora",IF(N13&lt;=7,"Por cobrar","Próximo")))))</f>
        <v/>
      </c>
    </row>
    <row r="14">
      <c r="A14" s="13">
        <f>IF(Suscripciones!A14="","",Suscripciones!A14)</f>
        <v/>
      </c>
      <c r="B14" s="13">
        <f>IF(Suscripciones!A14="","",Suscripciones!C14)</f>
        <v/>
      </c>
      <c r="C14" s="13">
        <f>IF(Suscripciones!A14="","",Suscripciones!E14)</f>
        <v/>
      </c>
      <c r="D14" s="13">
        <f>IF(Suscripciones!A14="","",Suscripciones!F14)</f>
        <v/>
      </c>
      <c r="E14" s="18">
        <f>IF(Suscripciones!A14="","",Suscripciones!G14)</f>
        <v/>
      </c>
      <c r="F14" s="15">
        <f>IF(Suscripciones!A14="","",Suscripciones!H14)</f>
        <v/>
      </c>
      <c r="G14" s="19">
        <f>IF(Suscripciones!A14="","",Suscripciones!I14)</f>
        <v/>
      </c>
      <c r="H14" s="19">
        <f>IF(Suscripciones!A14="","",IF(Suscripciones!J14&lt;&gt;"Activa",0,IF(Suscripciones!F14="Anual",  MAX(0,DATEDIF(Suscripciones!H14,TODAY(),"Y")+1),  MAX(0,DATEDIF(Suscripciones!H14,TODAY(),"M")+1))))</f>
        <v/>
      </c>
      <c r="I14" s="18">
        <f>IF(A14="","",H14*E14)</f>
        <v/>
      </c>
      <c r="J14" s="20">
        <f>IF(A14="","",COUNTIFS(Pagos!C:C,A14))</f>
        <v/>
      </c>
      <c r="K14" s="18">
        <f>IF(A14="","",SUMIFS(Pagos!F:F,Pagos!C:C,A14))</f>
        <v/>
      </c>
      <c r="L14" s="18">
        <f>IF(A14="","",I14-K14)</f>
        <v/>
      </c>
      <c r="M14" s="15">
        <f>IF(A14="","",IF(Suscripciones!J14&lt;&gt;"Activa","",IF(D14="Anual",  DATE(YEAR(F14)+J14,MONTH(F14),DAY(F14)),  EDATE(F14,J14))))</f>
        <v/>
      </c>
      <c r="N14" s="16">
        <f>IF(OR(A14="",M14=""),"",M14-TODAY())</f>
        <v/>
      </c>
      <c r="O14" s="13">
        <f>IF(A14="","",IF(Suscripciones!J14&lt;&gt;"Activa",Suscripciones!J14,IF(L14&lt;=0,"Al día",IF(N14&lt;0,"En mora",IF(N14&lt;=7,"Por cobrar","Próximo")))))</f>
        <v/>
      </c>
    </row>
    <row r="15">
      <c r="A15" s="13">
        <f>IF(Suscripciones!A15="","",Suscripciones!A15)</f>
        <v/>
      </c>
      <c r="B15" s="13">
        <f>IF(Suscripciones!A15="","",Suscripciones!C15)</f>
        <v/>
      </c>
      <c r="C15" s="13">
        <f>IF(Suscripciones!A15="","",Suscripciones!E15)</f>
        <v/>
      </c>
      <c r="D15" s="13">
        <f>IF(Suscripciones!A15="","",Suscripciones!F15)</f>
        <v/>
      </c>
      <c r="E15" s="18">
        <f>IF(Suscripciones!A15="","",Suscripciones!G15)</f>
        <v/>
      </c>
      <c r="F15" s="15">
        <f>IF(Suscripciones!A15="","",Suscripciones!H15)</f>
        <v/>
      </c>
      <c r="G15" s="19">
        <f>IF(Suscripciones!A15="","",Suscripciones!I15)</f>
        <v/>
      </c>
      <c r="H15" s="19">
        <f>IF(Suscripciones!A15="","",IF(Suscripciones!J15&lt;&gt;"Activa",0,IF(Suscripciones!F15="Anual",  MAX(0,DATEDIF(Suscripciones!H15,TODAY(),"Y")+1),  MAX(0,DATEDIF(Suscripciones!H15,TODAY(),"M")+1))))</f>
        <v/>
      </c>
      <c r="I15" s="18">
        <f>IF(A15="","",H15*E15)</f>
        <v/>
      </c>
      <c r="J15" s="20">
        <f>IF(A15="","",COUNTIFS(Pagos!C:C,A15))</f>
        <v/>
      </c>
      <c r="K15" s="18">
        <f>IF(A15="","",SUMIFS(Pagos!F:F,Pagos!C:C,A15))</f>
        <v/>
      </c>
      <c r="L15" s="18">
        <f>IF(A15="","",I15-K15)</f>
        <v/>
      </c>
      <c r="M15" s="15">
        <f>IF(A15="","",IF(Suscripciones!J15&lt;&gt;"Activa","",IF(D15="Anual",  DATE(YEAR(F15)+J15,MONTH(F15),DAY(F15)),  EDATE(F15,J15))))</f>
        <v/>
      </c>
      <c r="N15" s="16">
        <f>IF(OR(A15="",M15=""),"",M15-TODAY())</f>
        <v/>
      </c>
      <c r="O15" s="13">
        <f>IF(A15="","",IF(Suscripciones!J15&lt;&gt;"Activa",Suscripciones!J15,IF(L15&lt;=0,"Al día",IF(N15&lt;0,"En mora",IF(N15&lt;=7,"Por cobrar","Próximo")))))</f>
        <v/>
      </c>
    </row>
    <row r="16">
      <c r="A16" s="13">
        <f>IF(Suscripciones!A16="","",Suscripciones!A16)</f>
        <v/>
      </c>
      <c r="B16" s="13">
        <f>IF(Suscripciones!A16="","",Suscripciones!C16)</f>
        <v/>
      </c>
      <c r="C16" s="13">
        <f>IF(Suscripciones!A16="","",Suscripciones!E16)</f>
        <v/>
      </c>
      <c r="D16" s="13">
        <f>IF(Suscripciones!A16="","",Suscripciones!F16)</f>
        <v/>
      </c>
      <c r="E16" s="18">
        <f>IF(Suscripciones!A16="","",Suscripciones!G16)</f>
        <v/>
      </c>
      <c r="F16" s="15">
        <f>IF(Suscripciones!A16="","",Suscripciones!H16)</f>
        <v/>
      </c>
      <c r="G16" s="19">
        <f>IF(Suscripciones!A16="","",Suscripciones!I16)</f>
        <v/>
      </c>
      <c r="H16" s="19">
        <f>IF(Suscripciones!A16="","",IF(Suscripciones!J16&lt;&gt;"Activa",0,IF(Suscripciones!F16="Anual",  MAX(0,DATEDIF(Suscripciones!H16,TODAY(),"Y")+1),  MAX(0,DATEDIF(Suscripciones!H16,TODAY(),"M")+1))))</f>
        <v/>
      </c>
      <c r="I16" s="18">
        <f>IF(A16="","",H16*E16)</f>
        <v/>
      </c>
      <c r="J16" s="20">
        <f>IF(A16="","",COUNTIFS(Pagos!C:C,A16))</f>
        <v/>
      </c>
      <c r="K16" s="18">
        <f>IF(A16="","",SUMIFS(Pagos!F:F,Pagos!C:C,A16))</f>
        <v/>
      </c>
      <c r="L16" s="18">
        <f>IF(A16="","",I16-K16)</f>
        <v/>
      </c>
      <c r="M16" s="15">
        <f>IF(A16="","",IF(Suscripciones!J16&lt;&gt;"Activa","",IF(D16="Anual",  DATE(YEAR(F16)+J16,MONTH(F16),DAY(F16)),  EDATE(F16,J16))))</f>
        <v/>
      </c>
      <c r="N16" s="16">
        <f>IF(OR(A16="",M16=""),"",M16-TODAY())</f>
        <v/>
      </c>
      <c r="O16" s="13">
        <f>IF(A16="","",IF(Suscripciones!J16&lt;&gt;"Activa",Suscripciones!J16,IF(L16&lt;=0,"Al día",IF(N16&lt;0,"En mora",IF(N16&lt;=7,"Por cobrar","Próximo")))))</f>
        <v/>
      </c>
    </row>
    <row r="17">
      <c r="A17" s="13">
        <f>IF(Suscripciones!A17="","",Suscripciones!A17)</f>
        <v/>
      </c>
      <c r="B17" s="13">
        <f>IF(Suscripciones!A17="","",Suscripciones!C17)</f>
        <v/>
      </c>
      <c r="C17" s="13">
        <f>IF(Suscripciones!A17="","",Suscripciones!E17)</f>
        <v/>
      </c>
      <c r="D17" s="13">
        <f>IF(Suscripciones!A17="","",Suscripciones!F17)</f>
        <v/>
      </c>
      <c r="E17" s="18">
        <f>IF(Suscripciones!A17="","",Suscripciones!G17)</f>
        <v/>
      </c>
      <c r="F17" s="15">
        <f>IF(Suscripciones!A17="","",Suscripciones!H17)</f>
        <v/>
      </c>
      <c r="G17" s="19">
        <f>IF(Suscripciones!A17="","",Suscripciones!I17)</f>
        <v/>
      </c>
      <c r="H17" s="19">
        <f>IF(Suscripciones!A17="","",IF(Suscripciones!J17&lt;&gt;"Activa",0,IF(Suscripciones!F17="Anual",  MAX(0,DATEDIF(Suscripciones!H17,TODAY(),"Y")+1),  MAX(0,DATEDIF(Suscripciones!H17,TODAY(),"M")+1))))</f>
        <v/>
      </c>
      <c r="I17" s="18">
        <f>IF(A17="","",H17*E17)</f>
        <v/>
      </c>
      <c r="J17" s="20">
        <f>IF(A17="","",COUNTIFS(Pagos!C:C,A17))</f>
        <v/>
      </c>
      <c r="K17" s="18">
        <f>IF(A17="","",SUMIFS(Pagos!F:F,Pagos!C:C,A17))</f>
        <v/>
      </c>
      <c r="L17" s="18">
        <f>IF(A17="","",I17-K17)</f>
        <v/>
      </c>
      <c r="M17" s="15">
        <f>IF(A17="","",IF(Suscripciones!J17&lt;&gt;"Activa","",IF(D17="Anual",  DATE(YEAR(F17)+J17,MONTH(F17),DAY(F17)),  EDATE(F17,J17))))</f>
        <v/>
      </c>
      <c r="N17" s="16">
        <f>IF(OR(A17="",M17=""),"",M17-TODAY())</f>
        <v/>
      </c>
      <c r="O17" s="13">
        <f>IF(A17="","",IF(Suscripciones!J17&lt;&gt;"Activa",Suscripciones!J17,IF(L17&lt;=0,"Al día",IF(N17&lt;0,"En mora",IF(N17&lt;=7,"Por cobrar","Próximo")))))</f>
        <v/>
      </c>
    </row>
    <row r="18">
      <c r="A18" s="13">
        <f>IF(Suscripciones!A18="","",Suscripciones!A18)</f>
        <v/>
      </c>
      <c r="B18" s="13">
        <f>IF(Suscripciones!A18="","",Suscripciones!C18)</f>
        <v/>
      </c>
      <c r="C18" s="13">
        <f>IF(Suscripciones!A18="","",Suscripciones!E18)</f>
        <v/>
      </c>
      <c r="D18" s="13">
        <f>IF(Suscripciones!A18="","",Suscripciones!F18)</f>
        <v/>
      </c>
      <c r="E18" s="18">
        <f>IF(Suscripciones!A18="","",Suscripciones!G18)</f>
        <v/>
      </c>
      <c r="F18" s="15">
        <f>IF(Suscripciones!A18="","",Suscripciones!H18)</f>
        <v/>
      </c>
      <c r="G18" s="19">
        <f>IF(Suscripciones!A18="","",Suscripciones!I18)</f>
        <v/>
      </c>
      <c r="H18" s="19">
        <f>IF(Suscripciones!A18="","",IF(Suscripciones!J18&lt;&gt;"Activa",0,IF(Suscripciones!F18="Anual",  MAX(0,DATEDIF(Suscripciones!H18,TODAY(),"Y")+1),  MAX(0,DATEDIF(Suscripciones!H18,TODAY(),"M")+1))))</f>
        <v/>
      </c>
      <c r="I18" s="18">
        <f>IF(A18="","",H18*E18)</f>
        <v/>
      </c>
      <c r="J18" s="20">
        <f>IF(A18="","",COUNTIFS(Pagos!C:C,A18))</f>
        <v/>
      </c>
      <c r="K18" s="18">
        <f>IF(A18="","",SUMIFS(Pagos!F:F,Pagos!C:C,A18))</f>
        <v/>
      </c>
      <c r="L18" s="18">
        <f>IF(A18="","",I18-K18)</f>
        <v/>
      </c>
      <c r="M18" s="15">
        <f>IF(A18="","",IF(Suscripciones!J18&lt;&gt;"Activa","",IF(D18="Anual",  DATE(YEAR(F18)+J18,MONTH(F18),DAY(F18)),  EDATE(F18,J18))))</f>
        <v/>
      </c>
      <c r="N18" s="16">
        <f>IF(OR(A18="",M18=""),"",M18-TODAY())</f>
        <v/>
      </c>
      <c r="O18" s="13">
        <f>IF(A18="","",IF(Suscripciones!J18&lt;&gt;"Activa",Suscripciones!J18,IF(L18&lt;=0,"Al día",IF(N18&lt;0,"En mora",IF(N18&lt;=7,"Por cobrar","Próximo")))))</f>
        <v/>
      </c>
    </row>
    <row r="19">
      <c r="A19" s="13">
        <f>IF(Suscripciones!A19="","",Suscripciones!A19)</f>
        <v/>
      </c>
      <c r="B19" s="13">
        <f>IF(Suscripciones!A19="","",Suscripciones!C19)</f>
        <v/>
      </c>
      <c r="C19" s="13">
        <f>IF(Suscripciones!A19="","",Suscripciones!E19)</f>
        <v/>
      </c>
      <c r="D19" s="13">
        <f>IF(Suscripciones!A19="","",Suscripciones!F19)</f>
        <v/>
      </c>
      <c r="E19" s="18">
        <f>IF(Suscripciones!A19="","",Suscripciones!G19)</f>
        <v/>
      </c>
      <c r="F19" s="15">
        <f>IF(Suscripciones!A19="","",Suscripciones!H19)</f>
        <v/>
      </c>
      <c r="G19" s="19">
        <f>IF(Suscripciones!A19="","",Suscripciones!I19)</f>
        <v/>
      </c>
      <c r="H19" s="19">
        <f>IF(Suscripciones!A19="","",IF(Suscripciones!J19&lt;&gt;"Activa",0,IF(Suscripciones!F19="Anual",  MAX(0,DATEDIF(Suscripciones!H19,TODAY(),"Y")+1),  MAX(0,DATEDIF(Suscripciones!H19,TODAY(),"M")+1))))</f>
        <v/>
      </c>
      <c r="I19" s="18">
        <f>IF(A19="","",H19*E19)</f>
        <v/>
      </c>
      <c r="J19" s="20">
        <f>IF(A19="","",COUNTIFS(Pagos!C:C,A19))</f>
        <v/>
      </c>
      <c r="K19" s="18">
        <f>IF(A19="","",SUMIFS(Pagos!F:F,Pagos!C:C,A19))</f>
        <v/>
      </c>
      <c r="L19" s="18">
        <f>IF(A19="","",I19-K19)</f>
        <v/>
      </c>
      <c r="M19" s="15">
        <f>IF(A19="","",IF(Suscripciones!J19&lt;&gt;"Activa","",IF(D19="Anual",  DATE(YEAR(F19)+J19,MONTH(F19),DAY(F19)),  EDATE(F19,J19))))</f>
        <v/>
      </c>
      <c r="N19" s="16">
        <f>IF(OR(A19="",M19=""),"",M19-TODAY())</f>
        <v/>
      </c>
      <c r="O19" s="13">
        <f>IF(A19="","",IF(Suscripciones!J19&lt;&gt;"Activa",Suscripciones!J19,IF(L19&lt;=0,"Al día",IF(N19&lt;0,"En mora",IF(N19&lt;=7,"Por cobrar","Próximo")))))</f>
        <v/>
      </c>
    </row>
    <row r="20">
      <c r="A20" s="13">
        <f>IF(Suscripciones!A20="","",Suscripciones!A20)</f>
        <v/>
      </c>
      <c r="B20" s="13">
        <f>IF(Suscripciones!A20="","",Suscripciones!C20)</f>
        <v/>
      </c>
      <c r="C20" s="13">
        <f>IF(Suscripciones!A20="","",Suscripciones!E20)</f>
        <v/>
      </c>
      <c r="D20" s="13">
        <f>IF(Suscripciones!A20="","",Suscripciones!F20)</f>
        <v/>
      </c>
      <c r="E20" s="18">
        <f>IF(Suscripciones!A20="","",Suscripciones!G20)</f>
        <v/>
      </c>
      <c r="F20" s="15">
        <f>IF(Suscripciones!A20="","",Suscripciones!H20)</f>
        <v/>
      </c>
      <c r="G20" s="19">
        <f>IF(Suscripciones!A20="","",Suscripciones!I20)</f>
        <v/>
      </c>
      <c r="H20" s="19">
        <f>IF(Suscripciones!A20="","",IF(Suscripciones!J20&lt;&gt;"Activa",0,IF(Suscripciones!F20="Anual",  MAX(0,DATEDIF(Suscripciones!H20,TODAY(),"Y")+1),  MAX(0,DATEDIF(Suscripciones!H20,TODAY(),"M")+1))))</f>
        <v/>
      </c>
      <c r="I20" s="18">
        <f>IF(A20="","",H20*E20)</f>
        <v/>
      </c>
      <c r="J20" s="20">
        <f>IF(A20="","",COUNTIFS(Pagos!C:C,A20))</f>
        <v/>
      </c>
      <c r="K20" s="18">
        <f>IF(A20="","",SUMIFS(Pagos!F:F,Pagos!C:C,A20))</f>
        <v/>
      </c>
      <c r="L20" s="18">
        <f>IF(A20="","",I20-K20)</f>
        <v/>
      </c>
      <c r="M20" s="15">
        <f>IF(A20="","",IF(Suscripciones!J20&lt;&gt;"Activa","",IF(D20="Anual",  DATE(YEAR(F20)+J20,MONTH(F20),DAY(F20)),  EDATE(F20,J20))))</f>
        <v/>
      </c>
      <c r="N20" s="16">
        <f>IF(OR(A20="",M20=""),"",M20-TODAY())</f>
        <v/>
      </c>
      <c r="O20" s="13">
        <f>IF(A20="","",IF(Suscripciones!J20&lt;&gt;"Activa",Suscripciones!J20,IF(L20&lt;=0,"Al día",IF(N20&lt;0,"En mora",IF(N20&lt;=7,"Por cobrar","Próximo")))))</f>
        <v/>
      </c>
    </row>
    <row r="21">
      <c r="A21" s="13">
        <f>IF(Suscripciones!A21="","",Suscripciones!A21)</f>
        <v/>
      </c>
      <c r="B21" s="13">
        <f>IF(Suscripciones!A21="","",Suscripciones!C21)</f>
        <v/>
      </c>
      <c r="C21" s="13">
        <f>IF(Suscripciones!A21="","",Suscripciones!E21)</f>
        <v/>
      </c>
      <c r="D21" s="13">
        <f>IF(Suscripciones!A21="","",Suscripciones!F21)</f>
        <v/>
      </c>
      <c r="E21" s="18">
        <f>IF(Suscripciones!A21="","",Suscripciones!G21)</f>
        <v/>
      </c>
      <c r="F21" s="15">
        <f>IF(Suscripciones!A21="","",Suscripciones!H21)</f>
        <v/>
      </c>
      <c r="G21" s="19">
        <f>IF(Suscripciones!A21="","",Suscripciones!I21)</f>
        <v/>
      </c>
      <c r="H21" s="19">
        <f>IF(Suscripciones!A21="","",IF(Suscripciones!J21&lt;&gt;"Activa",0,IF(Suscripciones!F21="Anual",  MAX(0,DATEDIF(Suscripciones!H21,TODAY(),"Y")+1),  MAX(0,DATEDIF(Suscripciones!H21,TODAY(),"M")+1))))</f>
        <v/>
      </c>
      <c r="I21" s="18">
        <f>IF(A21="","",H21*E21)</f>
        <v/>
      </c>
      <c r="J21" s="20">
        <f>IF(A21="","",COUNTIFS(Pagos!C:C,A21))</f>
        <v/>
      </c>
      <c r="K21" s="18">
        <f>IF(A21="","",SUMIFS(Pagos!F:F,Pagos!C:C,A21))</f>
        <v/>
      </c>
      <c r="L21" s="18">
        <f>IF(A21="","",I21-K21)</f>
        <v/>
      </c>
      <c r="M21" s="15">
        <f>IF(A21="","",IF(Suscripciones!J21&lt;&gt;"Activa","",IF(D21="Anual",  DATE(YEAR(F21)+J21,MONTH(F21),DAY(F21)),  EDATE(F21,J21))))</f>
        <v/>
      </c>
      <c r="N21" s="16">
        <f>IF(OR(A21="",M21=""),"",M21-TODAY())</f>
        <v/>
      </c>
      <c r="O21" s="13">
        <f>IF(A21="","",IF(Suscripciones!J21&lt;&gt;"Activa",Suscripciones!J21,IF(L21&lt;=0,"Al día",IF(N21&lt;0,"En mora",IF(N21&lt;=7,"Por cobrar","Próximo")))))</f>
        <v/>
      </c>
    </row>
    <row r="22">
      <c r="A22" s="13">
        <f>IF(Suscripciones!A22="","",Suscripciones!A22)</f>
        <v/>
      </c>
      <c r="B22" s="13">
        <f>IF(Suscripciones!A22="","",Suscripciones!C22)</f>
        <v/>
      </c>
      <c r="C22" s="13">
        <f>IF(Suscripciones!A22="","",Suscripciones!E22)</f>
        <v/>
      </c>
      <c r="D22" s="13">
        <f>IF(Suscripciones!A22="","",Suscripciones!F22)</f>
        <v/>
      </c>
      <c r="E22" s="18">
        <f>IF(Suscripciones!A22="","",Suscripciones!G22)</f>
        <v/>
      </c>
      <c r="F22" s="15">
        <f>IF(Suscripciones!A22="","",Suscripciones!H22)</f>
        <v/>
      </c>
      <c r="G22" s="19">
        <f>IF(Suscripciones!A22="","",Suscripciones!I22)</f>
        <v/>
      </c>
      <c r="H22" s="19">
        <f>IF(Suscripciones!A22="","",IF(Suscripciones!J22&lt;&gt;"Activa",0,IF(Suscripciones!F22="Anual",  MAX(0,DATEDIF(Suscripciones!H22,TODAY(),"Y")+1),  MAX(0,DATEDIF(Suscripciones!H22,TODAY(),"M")+1))))</f>
        <v/>
      </c>
      <c r="I22" s="18">
        <f>IF(A22="","",H22*E22)</f>
        <v/>
      </c>
      <c r="J22" s="20">
        <f>IF(A22="","",COUNTIFS(Pagos!C:C,A22))</f>
        <v/>
      </c>
      <c r="K22" s="18">
        <f>IF(A22="","",SUMIFS(Pagos!F:F,Pagos!C:C,A22))</f>
        <v/>
      </c>
      <c r="L22" s="18">
        <f>IF(A22="","",I22-K22)</f>
        <v/>
      </c>
      <c r="M22" s="15">
        <f>IF(A22="","",IF(Suscripciones!J22&lt;&gt;"Activa","",IF(D22="Anual",  DATE(YEAR(F22)+J22,MONTH(F22),DAY(F22)),  EDATE(F22,J22))))</f>
        <v/>
      </c>
      <c r="N22" s="16">
        <f>IF(OR(A22="",M22=""),"",M22-TODAY())</f>
        <v/>
      </c>
      <c r="O22" s="13">
        <f>IF(A22="","",IF(Suscripciones!J22&lt;&gt;"Activa",Suscripciones!J22,IF(L22&lt;=0,"Al día",IF(N22&lt;0,"En mora",IF(N22&lt;=7,"Por cobrar","Próximo")))))</f>
        <v/>
      </c>
    </row>
    <row r="23">
      <c r="A23" s="13">
        <f>IF(Suscripciones!A23="","",Suscripciones!A23)</f>
        <v/>
      </c>
      <c r="B23" s="13">
        <f>IF(Suscripciones!A23="","",Suscripciones!C23)</f>
        <v/>
      </c>
      <c r="C23" s="13">
        <f>IF(Suscripciones!A23="","",Suscripciones!E23)</f>
        <v/>
      </c>
      <c r="D23" s="13">
        <f>IF(Suscripciones!A23="","",Suscripciones!F23)</f>
        <v/>
      </c>
      <c r="E23" s="18">
        <f>IF(Suscripciones!A23="","",Suscripciones!G23)</f>
        <v/>
      </c>
      <c r="F23" s="15">
        <f>IF(Suscripciones!A23="","",Suscripciones!H23)</f>
        <v/>
      </c>
      <c r="G23" s="19">
        <f>IF(Suscripciones!A23="","",Suscripciones!I23)</f>
        <v/>
      </c>
      <c r="H23" s="19">
        <f>IF(Suscripciones!A23="","",IF(Suscripciones!J23&lt;&gt;"Activa",0,IF(Suscripciones!F23="Anual",  MAX(0,DATEDIF(Suscripciones!H23,TODAY(),"Y")+1),  MAX(0,DATEDIF(Suscripciones!H23,TODAY(),"M")+1))))</f>
        <v/>
      </c>
      <c r="I23" s="18">
        <f>IF(A23="","",H23*E23)</f>
        <v/>
      </c>
      <c r="J23" s="20">
        <f>IF(A23="","",COUNTIFS(Pagos!C:C,A23))</f>
        <v/>
      </c>
      <c r="K23" s="18">
        <f>IF(A23="","",SUMIFS(Pagos!F:F,Pagos!C:C,A23))</f>
        <v/>
      </c>
      <c r="L23" s="18">
        <f>IF(A23="","",I23-K23)</f>
        <v/>
      </c>
      <c r="M23" s="15">
        <f>IF(A23="","",IF(Suscripciones!J23&lt;&gt;"Activa","",IF(D23="Anual",  DATE(YEAR(F23)+J23,MONTH(F23),DAY(F23)),  EDATE(F23,J23))))</f>
        <v/>
      </c>
      <c r="N23" s="16">
        <f>IF(OR(A23="",M23=""),"",M23-TODAY())</f>
        <v/>
      </c>
      <c r="O23" s="13">
        <f>IF(A23="","",IF(Suscripciones!J23&lt;&gt;"Activa",Suscripciones!J23,IF(L23&lt;=0,"Al día",IF(N23&lt;0,"En mora",IF(N23&lt;=7,"Por cobrar","Próximo")))))</f>
        <v/>
      </c>
    </row>
    <row r="24">
      <c r="A24" s="13">
        <f>IF(Suscripciones!A24="","",Suscripciones!A24)</f>
        <v/>
      </c>
      <c r="B24" s="13">
        <f>IF(Suscripciones!A24="","",Suscripciones!C24)</f>
        <v/>
      </c>
      <c r="C24" s="13">
        <f>IF(Suscripciones!A24="","",Suscripciones!E24)</f>
        <v/>
      </c>
      <c r="D24" s="13">
        <f>IF(Suscripciones!A24="","",Suscripciones!F24)</f>
        <v/>
      </c>
      <c r="E24" s="18">
        <f>IF(Suscripciones!A24="","",Suscripciones!G24)</f>
        <v/>
      </c>
      <c r="F24" s="15">
        <f>IF(Suscripciones!A24="","",Suscripciones!H24)</f>
        <v/>
      </c>
      <c r="G24" s="19">
        <f>IF(Suscripciones!A24="","",Suscripciones!I24)</f>
        <v/>
      </c>
      <c r="H24" s="19">
        <f>IF(Suscripciones!A24="","",IF(Suscripciones!J24&lt;&gt;"Activa",0,IF(Suscripciones!F24="Anual",  MAX(0,DATEDIF(Suscripciones!H24,TODAY(),"Y")+1),  MAX(0,DATEDIF(Suscripciones!H24,TODAY(),"M")+1))))</f>
        <v/>
      </c>
      <c r="I24" s="18">
        <f>IF(A24="","",H24*E24)</f>
        <v/>
      </c>
      <c r="J24" s="20">
        <f>IF(A24="","",COUNTIFS(Pagos!C:C,A24))</f>
        <v/>
      </c>
      <c r="K24" s="18">
        <f>IF(A24="","",SUMIFS(Pagos!F:F,Pagos!C:C,A24))</f>
        <v/>
      </c>
      <c r="L24" s="18">
        <f>IF(A24="","",I24-K24)</f>
        <v/>
      </c>
      <c r="M24" s="15">
        <f>IF(A24="","",IF(Suscripciones!J24&lt;&gt;"Activa","",IF(D24="Anual",  DATE(YEAR(F24)+J24,MONTH(F24),DAY(F24)),  EDATE(F24,J24))))</f>
        <v/>
      </c>
      <c r="N24" s="16">
        <f>IF(OR(A24="",M24=""),"",M24-TODAY())</f>
        <v/>
      </c>
      <c r="O24" s="13">
        <f>IF(A24="","",IF(Suscripciones!J24&lt;&gt;"Activa",Suscripciones!J24,IF(L24&lt;=0,"Al día",IF(N24&lt;0,"En mora",IF(N24&lt;=7,"Por cobrar","Próximo")))))</f>
        <v/>
      </c>
    </row>
    <row r="25">
      <c r="A25" s="13">
        <f>IF(Suscripciones!A25="","",Suscripciones!A25)</f>
        <v/>
      </c>
      <c r="B25" s="13">
        <f>IF(Suscripciones!A25="","",Suscripciones!C25)</f>
        <v/>
      </c>
      <c r="C25" s="13">
        <f>IF(Suscripciones!A25="","",Suscripciones!E25)</f>
        <v/>
      </c>
      <c r="D25" s="13">
        <f>IF(Suscripciones!A25="","",Suscripciones!F25)</f>
        <v/>
      </c>
      <c r="E25" s="18">
        <f>IF(Suscripciones!A25="","",Suscripciones!G25)</f>
        <v/>
      </c>
      <c r="F25" s="15">
        <f>IF(Suscripciones!A25="","",Suscripciones!H25)</f>
        <v/>
      </c>
      <c r="G25" s="19">
        <f>IF(Suscripciones!A25="","",Suscripciones!I25)</f>
        <v/>
      </c>
      <c r="H25" s="19">
        <f>IF(Suscripciones!A25="","",IF(Suscripciones!J25&lt;&gt;"Activa",0,IF(Suscripciones!F25="Anual",  MAX(0,DATEDIF(Suscripciones!H25,TODAY(),"Y")+1),  MAX(0,DATEDIF(Suscripciones!H25,TODAY(),"M")+1))))</f>
        <v/>
      </c>
      <c r="I25" s="18">
        <f>IF(A25="","",H25*E25)</f>
        <v/>
      </c>
      <c r="J25" s="20">
        <f>IF(A25="","",COUNTIFS(Pagos!C:C,A25))</f>
        <v/>
      </c>
      <c r="K25" s="18">
        <f>IF(A25="","",SUMIFS(Pagos!F:F,Pagos!C:C,A25))</f>
        <v/>
      </c>
      <c r="L25" s="18">
        <f>IF(A25="","",I25-K25)</f>
        <v/>
      </c>
      <c r="M25" s="15">
        <f>IF(A25="","",IF(Suscripciones!J25&lt;&gt;"Activa","",IF(D25="Anual",  DATE(YEAR(F25)+J25,MONTH(F25),DAY(F25)),  EDATE(F25,J25))))</f>
        <v/>
      </c>
      <c r="N25" s="16">
        <f>IF(OR(A25="",M25=""),"",M25-TODAY())</f>
        <v/>
      </c>
      <c r="O25" s="13">
        <f>IF(A25="","",IF(Suscripciones!J25&lt;&gt;"Activa",Suscripciones!J25,IF(L25&lt;=0,"Al día",IF(N25&lt;0,"En mora",IF(N25&lt;=7,"Por cobrar","Próximo")))))</f>
        <v/>
      </c>
    </row>
    <row r="26">
      <c r="A26" s="13">
        <f>IF(Suscripciones!A26="","",Suscripciones!A26)</f>
        <v/>
      </c>
      <c r="B26" s="13">
        <f>IF(Suscripciones!A26="","",Suscripciones!C26)</f>
        <v/>
      </c>
      <c r="C26" s="13">
        <f>IF(Suscripciones!A26="","",Suscripciones!E26)</f>
        <v/>
      </c>
      <c r="D26" s="13">
        <f>IF(Suscripciones!A26="","",Suscripciones!F26)</f>
        <v/>
      </c>
      <c r="E26" s="18">
        <f>IF(Suscripciones!A26="","",Suscripciones!G26)</f>
        <v/>
      </c>
      <c r="F26" s="15">
        <f>IF(Suscripciones!A26="","",Suscripciones!H26)</f>
        <v/>
      </c>
      <c r="G26" s="19">
        <f>IF(Suscripciones!A26="","",Suscripciones!I26)</f>
        <v/>
      </c>
      <c r="H26" s="19">
        <f>IF(Suscripciones!A26="","",IF(Suscripciones!J26&lt;&gt;"Activa",0,IF(Suscripciones!F26="Anual",  MAX(0,DATEDIF(Suscripciones!H26,TODAY(),"Y")+1),  MAX(0,DATEDIF(Suscripciones!H26,TODAY(),"M")+1))))</f>
        <v/>
      </c>
      <c r="I26" s="18">
        <f>IF(A26="","",H26*E26)</f>
        <v/>
      </c>
      <c r="J26" s="20">
        <f>IF(A26="","",COUNTIFS(Pagos!C:C,A26))</f>
        <v/>
      </c>
      <c r="K26" s="18">
        <f>IF(A26="","",SUMIFS(Pagos!F:F,Pagos!C:C,A26))</f>
        <v/>
      </c>
      <c r="L26" s="18">
        <f>IF(A26="","",I26-K26)</f>
        <v/>
      </c>
      <c r="M26" s="15">
        <f>IF(A26="","",IF(Suscripciones!J26&lt;&gt;"Activa","",IF(D26="Anual",  DATE(YEAR(F26)+J26,MONTH(F26),DAY(F26)),  EDATE(F26,J26))))</f>
        <v/>
      </c>
      <c r="N26" s="16">
        <f>IF(OR(A26="",M26=""),"",M26-TODAY())</f>
        <v/>
      </c>
      <c r="O26" s="13">
        <f>IF(A26="","",IF(Suscripciones!J26&lt;&gt;"Activa",Suscripciones!J26,IF(L26&lt;=0,"Al día",IF(N26&lt;0,"En mora",IF(N26&lt;=7,"Por cobrar","Próximo")))))</f>
        <v/>
      </c>
    </row>
    <row r="27">
      <c r="A27" s="13">
        <f>IF(Suscripciones!A27="","",Suscripciones!A27)</f>
        <v/>
      </c>
      <c r="B27" s="13">
        <f>IF(Suscripciones!A27="","",Suscripciones!C27)</f>
        <v/>
      </c>
      <c r="C27" s="13">
        <f>IF(Suscripciones!A27="","",Suscripciones!E27)</f>
        <v/>
      </c>
      <c r="D27" s="13">
        <f>IF(Suscripciones!A27="","",Suscripciones!F27)</f>
        <v/>
      </c>
      <c r="E27" s="18">
        <f>IF(Suscripciones!A27="","",Suscripciones!G27)</f>
        <v/>
      </c>
      <c r="F27" s="15">
        <f>IF(Suscripciones!A27="","",Suscripciones!H27)</f>
        <v/>
      </c>
      <c r="G27" s="19">
        <f>IF(Suscripciones!A27="","",Suscripciones!I27)</f>
        <v/>
      </c>
      <c r="H27" s="19">
        <f>IF(Suscripciones!A27="","",IF(Suscripciones!J27&lt;&gt;"Activa",0,IF(Suscripciones!F27="Anual",  MAX(0,DATEDIF(Suscripciones!H27,TODAY(),"Y")+1),  MAX(0,DATEDIF(Suscripciones!H27,TODAY(),"M")+1))))</f>
        <v/>
      </c>
      <c r="I27" s="18">
        <f>IF(A27="","",H27*E27)</f>
        <v/>
      </c>
      <c r="J27" s="20">
        <f>IF(A27="","",COUNTIFS(Pagos!C:C,A27))</f>
        <v/>
      </c>
      <c r="K27" s="18">
        <f>IF(A27="","",SUMIFS(Pagos!F:F,Pagos!C:C,A27))</f>
        <v/>
      </c>
      <c r="L27" s="18">
        <f>IF(A27="","",I27-K27)</f>
        <v/>
      </c>
      <c r="M27" s="15">
        <f>IF(A27="","",IF(Suscripciones!J27&lt;&gt;"Activa","",IF(D27="Anual",  DATE(YEAR(F27)+J27,MONTH(F27),DAY(F27)),  EDATE(F27,J27))))</f>
        <v/>
      </c>
      <c r="N27" s="16">
        <f>IF(OR(A27="",M27=""),"",M27-TODAY())</f>
        <v/>
      </c>
      <c r="O27" s="13">
        <f>IF(A27="","",IF(Suscripciones!J27&lt;&gt;"Activa",Suscripciones!J27,IF(L27&lt;=0,"Al día",IF(N27&lt;0,"En mora",IF(N27&lt;=7,"Por cobrar","Próximo")))))</f>
        <v/>
      </c>
    </row>
    <row r="28">
      <c r="A28" s="13">
        <f>IF(Suscripciones!A28="","",Suscripciones!A28)</f>
        <v/>
      </c>
      <c r="B28" s="13">
        <f>IF(Suscripciones!A28="","",Suscripciones!C28)</f>
        <v/>
      </c>
      <c r="C28" s="13">
        <f>IF(Suscripciones!A28="","",Suscripciones!E28)</f>
        <v/>
      </c>
      <c r="D28" s="13">
        <f>IF(Suscripciones!A28="","",Suscripciones!F28)</f>
        <v/>
      </c>
      <c r="E28" s="18">
        <f>IF(Suscripciones!A28="","",Suscripciones!G28)</f>
        <v/>
      </c>
      <c r="F28" s="15">
        <f>IF(Suscripciones!A28="","",Suscripciones!H28)</f>
        <v/>
      </c>
      <c r="G28" s="19">
        <f>IF(Suscripciones!A28="","",Suscripciones!I28)</f>
        <v/>
      </c>
      <c r="H28" s="19">
        <f>IF(Suscripciones!A28="","",IF(Suscripciones!J28&lt;&gt;"Activa",0,IF(Suscripciones!F28="Anual",  MAX(0,DATEDIF(Suscripciones!H28,TODAY(),"Y")+1),  MAX(0,DATEDIF(Suscripciones!H28,TODAY(),"M")+1))))</f>
        <v/>
      </c>
      <c r="I28" s="18">
        <f>IF(A28="","",H28*E28)</f>
        <v/>
      </c>
      <c r="J28" s="20">
        <f>IF(A28="","",COUNTIFS(Pagos!C:C,A28))</f>
        <v/>
      </c>
      <c r="K28" s="18">
        <f>IF(A28="","",SUMIFS(Pagos!F:F,Pagos!C:C,A28))</f>
        <v/>
      </c>
      <c r="L28" s="18">
        <f>IF(A28="","",I28-K28)</f>
        <v/>
      </c>
      <c r="M28" s="15">
        <f>IF(A28="","",IF(Suscripciones!J28&lt;&gt;"Activa","",IF(D28="Anual",  DATE(YEAR(F28)+J28,MONTH(F28),DAY(F28)),  EDATE(F28,J28))))</f>
        <v/>
      </c>
      <c r="N28" s="16">
        <f>IF(OR(A28="",M28=""),"",M28-TODAY())</f>
        <v/>
      </c>
      <c r="O28" s="13">
        <f>IF(A28="","",IF(Suscripciones!J28&lt;&gt;"Activa",Suscripciones!J28,IF(L28&lt;=0,"Al día",IF(N28&lt;0,"En mora",IF(N28&lt;=7,"Por cobrar","Próximo")))))</f>
        <v/>
      </c>
    </row>
    <row r="29">
      <c r="A29" s="13">
        <f>IF(Suscripciones!A29="","",Suscripciones!A29)</f>
        <v/>
      </c>
      <c r="B29" s="13">
        <f>IF(Suscripciones!A29="","",Suscripciones!C29)</f>
        <v/>
      </c>
      <c r="C29" s="13">
        <f>IF(Suscripciones!A29="","",Suscripciones!E29)</f>
        <v/>
      </c>
      <c r="D29" s="13">
        <f>IF(Suscripciones!A29="","",Suscripciones!F29)</f>
        <v/>
      </c>
      <c r="E29" s="18">
        <f>IF(Suscripciones!A29="","",Suscripciones!G29)</f>
        <v/>
      </c>
      <c r="F29" s="15">
        <f>IF(Suscripciones!A29="","",Suscripciones!H29)</f>
        <v/>
      </c>
      <c r="G29" s="19">
        <f>IF(Suscripciones!A29="","",Suscripciones!I29)</f>
        <v/>
      </c>
      <c r="H29" s="19">
        <f>IF(Suscripciones!A29="","",IF(Suscripciones!J29&lt;&gt;"Activa",0,IF(Suscripciones!F29="Anual",  MAX(0,DATEDIF(Suscripciones!H29,TODAY(),"Y")+1),  MAX(0,DATEDIF(Suscripciones!H29,TODAY(),"M")+1))))</f>
        <v/>
      </c>
      <c r="I29" s="18">
        <f>IF(A29="","",H29*E29)</f>
        <v/>
      </c>
      <c r="J29" s="20">
        <f>IF(A29="","",COUNTIFS(Pagos!C:C,A29))</f>
        <v/>
      </c>
      <c r="K29" s="18">
        <f>IF(A29="","",SUMIFS(Pagos!F:F,Pagos!C:C,A29))</f>
        <v/>
      </c>
      <c r="L29" s="18">
        <f>IF(A29="","",I29-K29)</f>
        <v/>
      </c>
      <c r="M29" s="15">
        <f>IF(A29="","",IF(Suscripciones!J29&lt;&gt;"Activa","",IF(D29="Anual",  DATE(YEAR(F29)+J29,MONTH(F29),DAY(F29)),  EDATE(F29,J29))))</f>
        <v/>
      </c>
      <c r="N29" s="16">
        <f>IF(OR(A29="",M29=""),"",M29-TODAY())</f>
        <v/>
      </c>
      <c r="O29" s="13">
        <f>IF(A29="","",IF(Suscripciones!J29&lt;&gt;"Activa",Suscripciones!J29,IF(L29&lt;=0,"Al día",IF(N29&lt;0,"En mora",IF(N29&lt;=7,"Por cobrar","Próximo")))))</f>
        <v/>
      </c>
    </row>
    <row r="30">
      <c r="A30" s="13">
        <f>IF(Suscripciones!A30="","",Suscripciones!A30)</f>
        <v/>
      </c>
      <c r="B30" s="13">
        <f>IF(Suscripciones!A30="","",Suscripciones!C30)</f>
        <v/>
      </c>
      <c r="C30" s="13">
        <f>IF(Suscripciones!A30="","",Suscripciones!E30)</f>
        <v/>
      </c>
      <c r="D30" s="13">
        <f>IF(Suscripciones!A30="","",Suscripciones!F30)</f>
        <v/>
      </c>
      <c r="E30" s="18">
        <f>IF(Suscripciones!A30="","",Suscripciones!G30)</f>
        <v/>
      </c>
      <c r="F30" s="15">
        <f>IF(Suscripciones!A30="","",Suscripciones!H30)</f>
        <v/>
      </c>
      <c r="G30" s="19">
        <f>IF(Suscripciones!A30="","",Suscripciones!I30)</f>
        <v/>
      </c>
      <c r="H30" s="19">
        <f>IF(Suscripciones!A30="","",IF(Suscripciones!J30&lt;&gt;"Activa",0,IF(Suscripciones!F30="Anual",  MAX(0,DATEDIF(Suscripciones!H30,TODAY(),"Y")+1),  MAX(0,DATEDIF(Suscripciones!H30,TODAY(),"M")+1))))</f>
        <v/>
      </c>
      <c r="I30" s="18">
        <f>IF(A30="","",H30*E30)</f>
        <v/>
      </c>
      <c r="J30" s="20">
        <f>IF(A30="","",COUNTIFS(Pagos!C:C,A30))</f>
        <v/>
      </c>
      <c r="K30" s="18">
        <f>IF(A30="","",SUMIFS(Pagos!F:F,Pagos!C:C,A30))</f>
        <v/>
      </c>
      <c r="L30" s="18">
        <f>IF(A30="","",I30-K30)</f>
        <v/>
      </c>
      <c r="M30" s="15">
        <f>IF(A30="","",IF(Suscripciones!J30&lt;&gt;"Activa","",IF(D30="Anual",  DATE(YEAR(F30)+J30,MONTH(F30),DAY(F30)),  EDATE(F30,J30))))</f>
        <v/>
      </c>
      <c r="N30" s="16">
        <f>IF(OR(A30="",M30=""),"",M30-TODAY())</f>
        <v/>
      </c>
      <c r="O30" s="13">
        <f>IF(A30="","",IF(Suscripciones!J30&lt;&gt;"Activa",Suscripciones!J30,IF(L30&lt;=0,"Al día",IF(N30&lt;0,"En mora",IF(N30&lt;=7,"Por cobrar","Próximo")))))</f>
        <v/>
      </c>
    </row>
  </sheetData>
  <mergeCells count="2">
    <mergeCell ref="A1:O1"/>
    <mergeCell ref="A2:O2"/>
  </mergeCells>
  <conditionalFormatting sqref="O5:O30">
    <cfRule type="expression" priority="1" dxfId="3">
      <formula>$O5="Al día"</formula>
    </cfRule>
    <cfRule type="expression" priority="2" dxfId="1">
      <formula>$O5="Por cobrar"</formula>
    </cfRule>
    <cfRule type="expression" priority="3" dxfId="2">
      <formula>$O5="En mora"</formula>
    </cfRule>
    <cfRule type="expression" priority="4" dxfId="4">
      <formula>$O5="Próximo"</formula>
    </cfRule>
    <cfRule type="expression" priority="5" dxfId="5">
      <formula>$O5="Pausada"</formula>
    </cfRule>
    <cfRule type="expression" priority="6" dxfId="5">
      <formula>$O5="Cancelada"</formula>
    </cfRule>
  </conditionalFormatting>
  <conditionalFormatting sqref="L5:L30">
    <cfRule type="expression" priority="7" dxfId="2">
      <formula>AND($L5&lt;&gt;"",$L5&gt;0)</formula>
    </cfRule>
    <cfRule type="expression" priority="8" dxfId="3">
      <formula>AND($L5&lt;&gt;"",$L5&lt;=0)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8" customWidth="1" min="5" max="5"/>
    <col width="14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30" customWidth="1" min="13" max="13"/>
  </cols>
  <sheetData>
    <row r="1" ht="40" customHeight="1">
      <c r="A1" s="1" t="inlineStr">
        <is>
          <t>📌 SUSCRIPCIONES</t>
        </is>
      </c>
    </row>
    <row r="2" ht="18" customHeight="1">
      <c r="A2" s="2" t="inlineStr">
        <is>
          <t>Una fila por suscripción · campos auto-calculados desde Planes y Clientes</t>
        </is>
      </c>
    </row>
    <row r="4" ht="30" customHeight="1">
      <c r="A4" s="4" t="inlineStr">
        <is>
          <t>ID Sub</t>
        </is>
      </c>
      <c r="B4" s="4" t="inlineStr">
        <is>
          <t>ID Cliente</t>
        </is>
      </c>
      <c r="C4" s="4" t="inlineStr">
        <is>
          <t>Cliente (auto)</t>
        </is>
      </c>
      <c r="D4" s="4" t="inlineStr">
        <is>
          <t>ID Plan</t>
        </is>
      </c>
      <c r="E4" s="4" t="inlineStr">
        <is>
          <t>Plan (auto)</t>
        </is>
      </c>
      <c r="F4" s="4" t="inlineStr">
        <is>
          <t>Periodicidad (auto)</t>
        </is>
      </c>
      <c r="G4" s="4" t="inlineStr">
        <is>
          <t>Precio (auto)</t>
        </is>
      </c>
      <c r="H4" s="4" t="inlineStr">
        <is>
          <t>Fecha inicio</t>
        </is>
      </c>
      <c r="I4" s="4" t="inlineStr">
        <is>
          <t>Día de cobro</t>
        </is>
      </c>
      <c r="J4" s="4" t="inlineStr">
        <is>
          <t>Estado</t>
        </is>
      </c>
      <c r="K4" s="4" t="inlineStr">
        <is>
          <t>Auto-renov</t>
        </is>
      </c>
      <c r="L4" s="4" t="inlineStr">
        <is>
          <t>Método pago</t>
        </is>
      </c>
      <c r="M4" s="4" t="inlineStr">
        <is>
          <t>Notas</t>
        </is>
      </c>
    </row>
    <row r="5">
      <c r="A5" s="21" t="inlineStr">
        <is>
          <t>SUB-0001</t>
        </is>
      </c>
      <c r="B5" s="21" t="inlineStr">
        <is>
          <t>CLI-001</t>
        </is>
      </c>
      <c r="C5" s="13">
        <f>IFERROR(VLOOKUP(B5,TBL_CLIENTES,2,FALSE),"")</f>
        <v/>
      </c>
      <c r="D5" s="21" t="inlineStr">
        <is>
          <t>PLAN-PRO</t>
        </is>
      </c>
      <c r="E5" s="13">
        <f>IFERROR(VLOOKUP(D5,TBL_PLANES,2,FALSE),"")</f>
        <v/>
      </c>
      <c r="F5" s="13">
        <f>IFERROR(VLOOKUP(D5,TBL_PLANES,3,FALSE),"")</f>
        <v/>
      </c>
      <c r="G5" s="14">
        <f>IFERROR(VLOOKUP(D5,TBL_PLANES,4,FALSE),"")</f>
        <v/>
      </c>
      <c r="H5" s="22" t="n">
        <v>46082</v>
      </c>
      <c r="I5" s="21" t="n">
        <v>1</v>
      </c>
      <c r="J5" s="21" t="inlineStr">
        <is>
          <t>Activa</t>
        </is>
      </c>
      <c r="K5" s="21" t="inlineStr">
        <is>
          <t>Sí</t>
        </is>
      </c>
      <c r="L5" s="21" t="inlineStr">
        <is>
          <t>Transferencia</t>
        </is>
      </c>
      <c r="M5" s="21" t="inlineStr"/>
    </row>
    <row r="6">
      <c r="A6" s="21" t="inlineStr">
        <is>
          <t>SUB-0002</t>
        </is>
      </c>
      <c r="B6" s="21" t="inlineStr">
        <is>
          <t>CLI-002</t>
        </is>
      </c>
      <c r="C6" s="13">
        <f>IFERROR(VLOOKUP(B6,TBL_CLIENTES,2,FALSE),"")</f>
        <v/>
      </c>
      <c r="D6" s="21" t="inlineStr">
        <is>
          <t>PLAN-BASIC</t>
        </is>
      </c>
      <c r="E6" s="13">
        <f>IFERROR(VLOOKUP(D6,TBL_PLANES,2,FALSE),"")</f>
        <v/>
      </c>
      <c r="F6" s="13">
        <f>IFERROR(VLOOKUP(D6,TBL_PLANES,3,FALSE),"")</f>
        <v/>
      </c>
      <c r="G6" s="14">
        <f>IFERROR(VLOOKUP(D6,TBL_PLANES,4,FALSE),"")</f>
        <v/>
      </c>
      <c r="H6" s="22" t="n">
        <v>46117</v>
      </c>
      <c r="I6" s="21" t="n">
        <v>5</v>
      </c>
      <c r="J6" s="21" t="inlineStr">
        <is>
          <t>Activa</t>
        </is>
      </c>
      <c r="K6" s="21" t="inlineStr">
        <is>
          <t>Sí</t>
        </is>
      </c>
      <c r="L6" s="21" t="inlineStr">
        <is>
          <t>Transferencia</t>
        </is>
      </c>
      <c r="M6" s="21" t="inlineStr"/>
    </row>
    <row r="7">
      <c r="A7" s="21" t="inlineStr">
        <is>
          <t>SUB-0003</t>
        </is>
      </c>
      <c r="B7" s="21" t="inlineStr">
        <is>
          <t>CLI-003</t>
        </is>
      </c>
      <c r="C7" s="13">
        <f>IFERROR(VLOOKUP(B7,TBL_CLIENTES,2,FALSE),"")</f>
        <v/>
      </c>
      <c r="D7" s="21" t="inlineStr">
        <is>
          <t>PLAN-ELITE</t>
        </is>
      </c>
      <c r="E7" s="13">
        <f>IFERROR(VLOOKUP(D7,TBL_PLANES,2,FALSE),"")</f>
        <v/>
      </c>
      <c r="F7" s="13">
        <f>IFERROR(VLOOKUP(D7,TBL_PLANES,3,FALSE),"")</f>
        <v/>
      </c>
      <c r="G7" s="14">
        <f>IFERROR(VLOOKUP(D7,TBL_PLANES,4,FALSE),"")</f>
        <v/>
      </c>
      <c r="H7" s="22" t="n">
        <v>46037</v>
      </c>
      <c r="I7" s="21" t="n">
        <v>15</v>
      </c>
      <c r="J7" s="21" t="inlineStr">
        <is>
          <t>Activa</t>
        </is>
      </c>
      <c r="K7" s="21" t="inlineStr">
        <is>
          <t>Sí</t>
        </is>
      </c>
      <c r="L7" s="21" t="inlineStr">
        <is>
          <t>Tarjeta</t>
        </is>
      </c>
      <c r="M7" s="21" t="inlineStr">
        <is>
          <t>Premium</t>
        </is>
      </c>
    </row>
    <row r="8">
      <c r="A8" s="21" t="inlineStr">
        <is>
          <t>SUB-0004</t>
        </is>
      </c>
      <c r="B8" s="21" t="inlineStr">
        <is>
          <t>CLI-004</t>
        </is>
      </c>
      <c r="C8" s="13">
        <f>IFERROR(VLOOKUP(B8,TBL_CLIENTES,2,FALSE),"")</f>
        <v/>
      </c>
      <c r="D8" s="21" t="inlineStr">
        <is>
          <t>PLAN-PRO</t>
        </is>
      </c>
      <c r="E8" s="13">
        <f>IFERROR(VLOOKUP(D8,TBL_PLANES,2,FALSE),"")</f>
        <v/>
      </c>
      <c r="F8" s="13">
        <f>IFERROR(VLOOKUP(D8,TBL_PLANES,3,FALSE),"")</f>
        <v/>
      </c>
      <c r="G8" s="14">
        <f>IFERROR(VLOOKUP(D8,TBL_PLANES,4,FALSE),"")</f>
        <v/>
      </c>
      <c r="H8" s="22" t="n">
        <v>46132</v>
      </c>
      <c r="I8" s="21" t="n">
        <v>20</v>
      </c>
      <c r="J8" s="21" t="inlineStr">
        <is>
          <t>Activa</t>
        </is>
      </c>
      <c r="K8" s="21" t="inlineStr">
        <is>
          <t>No</t>
        </is>
      </c>
      <c r="L8" s="21" t="inlineStr">
        <is>
          <t>Efectivo</t>
        </is>
      </c>
      <c r="M8" s="21" t="inlineStr">
        <is>
          <t>Cobro manual</t>
        </is>
      </c>
    </row>
    <row r="9">
      <c r="A9" s="21" t="inlineStr">
        <is>
          <t>SUB-0005</t>
        </is>
      </c>
      <c r="B9" s="21" t="inlineStr">
        <is>
          <t>CLI-005</t>
        </is>
      </c>
      <c r="C9" s="13">
        <f>IFERROR(VLOOKUP(B9,TBL_CLIENTES,2,FALSE),"")</f>
        <v/>
      </c>
      <c r="D9" s="21" t="inlineStr">
        <is>
          <t>PLAN-ANUAL</t>
        </is>
      </c>
      <c r="E9" s="13">
        <f>IFERROR(VLOOKUP(D9,TBL_PLANES,2,FALSE),"")</f>
        <v/>
      </c>
      <c r="F9" s="13">
        <f>IFERROR(VLOOKUP(D9,TBL_PLANES,3,FALSE),"")</f>
        <v/>
      </c>
      <c r="G9" s="14">
        <f>IFERROR(VLOOKUP(D9,TBL_PLANES,4,FALSE),"")</f>
        <v/>
      </c>
      <c r="H9" s="22" t="n">
        <v>46054</v>
      </c>
      <c r="I9" s="21" t="n">
        <v>1</v>
      </c>
      <c r="J9" s="21" t="inlineStr">
        <is>
          <t>Activa</t>
        </is>
      </c>
      <c r="K9" s="21" t="inlineStr">
        <is>
          <t>Sí</t>
        </is>
      </c>
      <c r="L9" s="21" t="inlineStr">
        <is>
          <t>Transferencia</t>
        </is>
      </c>
      <c r="M9" s="21" t="inlineStr"/>
    </row>
    <row r="10">
      <c r="A10" s="21" t="inlineStr">
        <is>
          <t>SUB-0006</t>
        </is>
      </c>
      <c r="B10" s="21" t="inlineStr">
        <is>
          <t>CLI-006</t>
        </is>
      </c>
      <c r="C10" s="13">
        <f>IFERROR(VLOOKUP(B10,TBL_CLIENTES,2,FALSE),"")</f>
        <v/>
      </c>
      <c r="D10" s="21" t="inlineStr">
        <is>
          <t>PLAN-BASIC</t>
        </is>
      </c>
      <c r="E10" s="13">
        <f>IFERROR(VLOOKUP(D10,TBL_PLANES,2,FALSE),"")</f>
        <v/>
      </c>
      <c r="F10" s="13">
        <f>IFERROR(VLOOKUP(D10,TBL_PLANES,3,FALSE),"")</f>
        <v/>
      </c>
      <c r="G10" s="14">
        <f>IFERROR(VLOOKUP(D10,TBL_PLANES,4,FALSE),"")</f>
        <v/>
      </c>
      <c r="H10" s="22" t="n">
        <v>46137</v>
      </c>
      <c r="I10" s="21" t="n">
        <v>25</v>
      </c>
      <c r="J10" s="21" t="inlineStr">
        <is>
          <t>Pausada</t>
        </is>
      </c>
      <c r="K10" s="21" t="inlineStr">
        <is>
          <t>No</t>
        </is>
      </c>
      <c r="L10" s="21" t="inlineStr">
        <is>
          <t>Transferencia</t>
        </is>
      </c>
      <c r="M10" s="21" t="inlineStr">
        <is>
          <t>Trial</t>
        </is>
      </c>
    </row>
    <row r="11">
      <c r="A11" s="23" t="n"/>
      <c r="B11" s="23" t="n"/>
      <c r="C11" s="24">
        <f>IFERROR(VLOOKUP(B11,TBL_CLIENTES,2,FALSE),"")</f>
        <v/>
      </c>
      <c r="D11" s="23" t="n"/>
      <c r="E11" s="24">
        <f>IFERROR(VLOOKUP(D11,TBL_PLANES,2,FALSE),"")</f>
        <v/>
      </c>
      <c r="F11" s="24">
        <f>IFERROR(VLOOKUP(D11,TBL_PLANES,3,FALSE),"")</f>
        <v/>
      </c>
      <c r="G11" s="25">
        <f>IFERROR(VLOOKUP(D11,TBL_PLANES,4,FALSE),"")</f>
        <v/>
      </c>
      <c r="H11" s="23" t="n"/>
      <c r="I11" s="23" t="n"/>
      <c r="J11" s="23" t="n"/>
      <c r="K11" s="23" t="n"/>
      <c r="L11" s="23" t="n"/>
      <c r="M11" s="23" t="n"/>
    </row>
    <row r="12">
      <c r="A12" s="23" t="n"/>
      <c r="B12" s="23" t="n"/>
      <c r="C12" s="24">
        <f>IFERROR(VLOOKUP(B12,TBL_CLIENTES,2,FALSE),"")</f>
        <v/>
      </c>
      <c r="D12" s="23" t="n"/>
      <c r="E12" s="24">
        <f>IFERROR(VLOOKUP(D12,TBL_PLANES,2,FALSE),"")</f>
        <v/>
      </c>
      <c r="F12" s="24">
        <f>IFERROR(VLOOKUP(D12,TBL_PLANES,3,FALSE),"")</f>
        <v/>
      </c>
      <c r="G12" s="25">
        <f>IFERROR(VLOOKUP(D12,TBL_PLANES,4,FALSE),"")</f>
        <v/>
      </c>
      <c r="H12" s="23" t="n"/>
      <c r="I12" s="23" t="n"/>
      <c r="J12" s="23" t="n"/>
      <c r="K12" s="23" t="n"/>
      <c r="L12" s="23" t="n"/>
      <c r="M12" s="23" t="n"/>
    </row>
    <row r="13">
      <c r="A13" s="23" t="n"/>
      <c r="B13" s="23" t="n"/>
      <c r="C13" s="24">
        <f>IFERROR(VLOOKUP(B13,TBL_CLIENTES,2,FALSE),"")</f>
        <v/>
      </c>
      <c r="D13" s="23" t="n"/>
      <c r="E13" s="24">
        <f>IFERROR(VLOOKUP(D13,TBL_PLANES,2,FALSE),"")</f>
        <v/>
      </c>
      <c r="F13" s="24">
        <f>IFERROR(VLOOKUP(D13,TBL_PLANES,3,FALSE),"")</f>
        <v/>
      </c>
      <c r="G13" s="25">
        <f>IFERROR(VLOOKUP(D13,TBL_PLANES,4,FALSE),"")</f>
        <v/>
      </c>
      <c r="H13" s="23" t="n"/>
      <c r="I13" s="23" t="n"/>
      <c r="J13" s="23" t="n"/>
      <c r="K13" s="23" t="n"/>
      <c r="L13" s="23" t="n"/>
      <c r="M13" s="23" t="n"/>
    </row>
    <row r="14">
      <c r="A14" s="23" t="n"/>
      <c r="B14" s="23" t="n"/>
      <c r="C14" s="24">
        <f>IFERROR(VLOOKUP(B14,TBL_CLIENTES,2,FALSE),"")</f>
        <v/>
      </c>
      <c r="D14" s="23" t="n"/>
      <c r="E14" s="24">
        <f>IFERROR(VLOOKUP(D14,TBL_PLANES,2,FALSE),"")</f>
        <v/>
      </c>
      <c r="F14" s="24">
        <f>IFERROR(VLOOKUP(D14,TBL_PLANES,3,FALSE),"")</f>
        <v/>
      </c>
      <c r="G14" s="25">
        <f>IFERROR(VLOOKUP(D14,TBL_PLANES,4,FALSE),"")</f>
        <v/>
      </c>
      <c r="H14" s="23" t="n"/>
      <c r="I14" s="23" t="n"/>
      <c r="J14" s="23" t="n"/>
      <c r="K14" s="23" t="n"/>
      <c r="L14" s="23" t="n"/>
      <c r="M14" s="23" t="n"/>
    </row>
    <row r="15">
      <c r="A15" s="23" t="n"/>
      <c r="B15" s="23" t="n"/>
      <c r="C15" s="24">
        <f>IFERROR(VLOOKUP(B15,TBL_CLIENTES,2,FALSE),"")</f>
        <v/>
      </c>
      <c r="D15" s="23" t="n"/>
      <c r="E15" s="24">
        <f>IFERROR(VLOOKUP(D15,TBL_PLANES,2,FALSE),"")</f>
        <v/>
      </c>
      <c r="F15" s="24">
        <f>IFERROR(VLOOKUP(D15,TBL_PLANES,3,FALSE),"")</f>
        <v/>
      </c>
      <c r="G15" s="25">
        <f>IFERROR(VLOOKUP(D15,TBL_PLANES,4,FALSE),"")</f>
        <v/>
      </c>
      <c r="H15" s="23" t="n"/>
      <c r="I15" s="23" t="n"/>
      <c r="J15" s="23" t="n"/>
      <c r="K15" s="23" t="n"/>
      <c r="L15" s="23" t="n"/>
      <c r="M15" s="23" t="n"/>
    </row>
    <row r="16">
      <c r="A16" s="23" t="n"/>
      <c r="B16" s="23" t="n"/>
      <c r="C16" s="24">
        <f>IFERROR(VLOOKUP(B16,TBL_CLIENTES,2,FALSE),"")</f>
        <v/>
      </c>
      <c r="D16" s="23" t="n"/>
      <c r="E16" s="24">
        <f>IFERROR(VLOOKUP(D16,TBL_PLANES,2,FALSE),"")</f>
        <v/>
      </c>
      <c r="F16" s="24">
        <f>IFERROR(VLOOKUP(D16,TBL_PLANES,3,FALSE),"")</f>
        <v/>
      </c>
      <c r="G16" s="25">
        <f>IFERROR(VLOOKUP(D16,TBL_PLANES,4,FALSE),"")</f>
        <v/>
      </c>
      <c r="H16" s="23" t="n"/>
      <c r="I16" s="23" t="n"/>
      <c r="J16" s="23" t="n"/>
      <c r="K16" s="23" t="n"/>
      <c r="L16" s="23" t="n"/>
      <c r="M16" s="23" t="n"/>
    </row>
    <row r="17">
      <c r="A17" s="23" t="n"/>
      <c r="B17" s="23" t="n"/>
      <c r="C17" s="24">
        <f>IFERROR(VLOOKUP(B17,TBL_CLIENTES,2,FALSE),"")</f>
        <v/>
      </c>
      <c r="D17" s="23" t="n"/>
      <c r="E17" s="24">
        <f>IFERROR(VLOOKUP(D17,TBL_PLANES,2,FALSE),"")</f>
        <v/>
      </c>
      <c r="F17" s="24">
        <f>IFERROR(VLOOKUP(D17,TBL_PLANES,3,FALSE),"")</f>
        <v/>
      </c>
      <c r="G17" s="25">
        <f>IFERROR(VLOOKUP(D17,TBL_PLANES,4,FALSE),"")</f>
        <v/>
      </c>
      <c r="H17" s="23" t="n"/>
      <c r="I17" s="23" t="n"/>
      <c r="J17" s="23" t="n"/>
      <c r="K17" s="23" t="n"/>
      <c r="L17" s="23" t="n"/>
      <c r="M17" s="23" t="n"/>
    </row>
    <row r="18">
      <c r="A18" s="23" t="n"/>
      <c r="B18" s="23" t="n"/>
      <c r="C18" s="24">
        <f>IFERROR(VLOOKUP(B18,TBL_CLIENTES,2,FALSE),"")</f>
        <v/>
      </c>
      <c r="D18" s="23" t="n"/>
      <c r="E18" s="24">
        <f>IFERROR(VLOOKUP(D18,TBL_PLANES,2,FALSE),"")</f>
        <v/>
      </c>
      <c r="F18" s="24">
        <f>IFERROR(VLOOKUP(D18,TBL_PLANES,3,FALSE),"")</f>
        <v/>
      </c>
      <c r="G18" s="25">
        <f>IFERROR(VLOOKUP(D18,TBL_PLANES,4,FALSE),"")</f>
        <v/>
      </c>
      <c r="H18" s="23" t="n"/>
      <c r="I18" s="23" t="n"/>
      <c r="J18" s="23" t="n"/>
      <c r="K18" s="23" t="n"/>
      <c r="L18" s="23" t="n"/>
      <c r="M18" s="23" t="n"/>
    </row>
    <row r="19">
      <c r="A19" s="23" t="n"/>
      <c r="B19" s="23" t="n"/>
      <c r="C19" s="24">
        <f>IFERROR(VLOOKUP(B19,TBL_CLIENTES,2,FALSE),"")</f>
        <v/>
      </c>
      <c r="D19" s="23" t="n"/>
      <c r="E19" s="24">
        <f>IFERROR(VLOOKUP(D19,TBL_PLANES,2,FALSE),"")</f>
        <v/>
      </c>
      <c r="F19" s="24">
        <f>IFERROR(VLOOKUP(D19,TBL_PLANES,3,FALSE),"")</f>
        <v/>
      </c>
      <c r="G19" s="25">
        <f>IFERROR(VLOOKUP(D19,TBL_PLANES,4,FALSE),"")</f>
        <v/>
      </c>
      <c r="H19" s="23" t="n"/>
      <c r="I19" s="23" t="n"/>
      <c r="J19" s="23" t="n"/>
      <c r="K19" s="23" t="n"/>
      <c r="L19" s="23" t="n"/>
      <c r="M19" s="23" t="n"/>
    </row>
    <row r="20">
      <c r="A20" s="23" t="n"/>
      <c r="B20" s="23" t="n"/>
      <c r="C20" s="24">
        <f>IFERROR(VLOOKUP(B20,TBL_CLIENTES,2,FALSE),"")</f>
        <v/>
      </c>
      <c r="D20" s="23" t="n"/>
      <c r="E20" s="24">
        <f>IFERROR(VLOOKUP(D20,TBL_PLANES,2,FALSE),"")</f>
        <v/>
      </c>
      <c r="F20" s="24">
        <f>IFERROR(VLOOKUP(D20,TBL_PLANES,3,FALSE),"")</f>
        <v/>
      </c>
      <c r="G20" s="25">
        <f>IFERROR(VLOOKUP(D20,TBL_PLANES,4,FALSE),"")</f>
        <v/>
      </c>
      <c r="H20" s="23" t="n"/>
      <c r="I20" s="23" t="n"/>
      <c r="J20" s="23" t="n"/>
      <c r="K20" s="23" t="n"/>
      <c r="L20" s="23" t="n"/>
      <c r="M20" s="23" t="n"/>
    </row>
    <row r="21">
      <c r="A21" s="23" t="n"/>
      <c r="B21" s="23" t="n"/>
      <c r="C21" s="24">
        <f>IFERROR(VLOOKUP(B21,TBL_CLIENTES,2,FALSE),"")</f>
        <v/>
      </c>
      <c r="D21" s="23" t="n"/>
      <c r="E21" s="24">
        <f>IFERROR(VLOOKUP(D21,TBL_PLANES,2,FALSE),"")</f>
        <v/>
      </c>
      <c r="F21" s="24">
        <f>IFERROR(VLOOKUP(D21,TBL_PLANES,3,FALSE),"")</f>
        <v/>
      </c>
      <c r="G21" s="25">
        <f>IFERROR(VLOOKUP(D21,TBL_PLANES,4,FALSE),"")</f>
        <v/>
      </c>
      <c r="H21" s="23" t="n"/>
      <c r="I21" s="23" t="n"/>
      <c r="J21" s="23" t="n"/>
      <c r="K21" s="23" t="n"/>
      <c r="L21" s="23" t="n"/>
      <c r="M21" s="23" t="n"/>
    </row>
    <row r="22">
      <c r="A22" s="23" t="n"/>
      <c r="B22" s="23" t="n"/>
      <c r="C22" s="24">
        <f>IFERROR(VLOOKUP(B22,TBL_CLIENTES,2,FALSE),"")</f>
        <v/>
      </c>
      <c r="D22" s="23" t="n"/>
      <c r="E22" s="24">
        <f>IFERROR(VLOOKUP(D22,TBL_PLANES,2,FALSE),"")</f>
        <v/>
      </c>
      <c r="F22" s="24">
        <f>IFERROR(VLOOKUP(D22,TBL_PLANES,3,FALSE),"")</f>
        <v/>
      </c>
      <c r="G22" s="25">
        <f>IFERROR(VLOOKUP(D22,TBL_PLANES,4,FALSE),"")</f>
        <v/>
      </c>
      <c r="H22" s="23" t="n"/>
      <c r="I22" s="23" t="n"/>
      <c r="J22" s="23" t="n"/>
      <c r="K22" s="23" t="n"/>
      <c r="L22" s="23" t="n"/>
      <c r="M22" s="23" t="n"/>
    </row>
    <row r="23">
      <c r="A23" s="23" t="n"/>
      <c r="B23" s="23" t="n"/>
      <c r="C23" s="24">
        <f>IFERROR(VLOOKUP(B23,TBL_CLIENTES,2,FALSE),"")</f>
        <v/>
      </c>
      <c r="D23" s="23" t="n"/>
      <c r="E23" s="24">
        <f>IFERROR(VLOOKUP(D23,TBL_PLANES,2,FALSE),"")</f>
        <v/>
      </c>
      <c r="F23" s="24">
        <f>IFERROR(VLOOKUP(D23,TBL_PLANES,3,FALSE),"")</f>
        <v/>
      </c>
      <c r="G23" s="25">
        <f>IFERROR(VLOOKUP(D23,TBL_PLANES,4,FALSE),"")</f>
        <v/>
      </c>
      <c r="H23" s="23" t="n"/>
      <c r="I23" s="23" t="n"/>
      <c r="J23" s="23" t="n"/>
      <c r="K23" s="23" t="n"/>
      <c r="L23" s="23" t="n"/>
      <c r="M23" s="23" t="n"/>
    </row>
    <row r="24">
      <c r="A24" s="23" t="n"/>
      <c r="B24" s="23" t="n"/>
      <c r="C24" s="24">
        <f>IFERROR(VLOOKUP(B24,TBL_CLIENTES,2,FALSE),"")</f>
        <v/>
      </c>
      <c r="D24" s="23" t="n"/>
      <c r="E24" s="24">
        <f>IFERROR(VLOOKUP(D24,TBL_PLANES,2,FALSE),"")</f>
        <v/>
      </c>
      <c r="F24" s="24">
        <f>IFERROR(VLOOKUP(D24,TBL_PLANES,3,FALSE),"")</f>
        <v/>
      </c>
      <c r="G24" s="25">
        <f>IFERROR(VLOOKUP(D24,TBL_PLANES,4,FALSE),"")</f>
        <v/>
      </c>
      <c r="H24" s="23" t="n"/>
      <c r="I24" s="23" t="n"/>
      <c r="J24" s="23" t="n"/>
      <c r="K24" s="23" t="n"/>
      <c r="L24" s="23" t="n"/>
      <c r="M24" s="23" t="n"/>
    </row>
    <row r="25">
      <c r="A25" s="23" t="n"/>
      <c r="B25" s="23" t="n"/>
      <c r="C25" s="24">
        <f>IFERROR(VLOOKUP(B25,TBL_CLIENTES,2,FALSE),"")</f>
        <v/>
      </c>
      <c r="D25" s="23" t="n"/>
      <c r="E25" s="24">
        <f>IFERROR(VLOOKUP(D25,TBL_PLANES,2,FALSE),"")</f>
        <v/>
      </c>
      <c r="F25" s="24">
        <f>IFERROR(VLOOKUP(D25,TBL_PLANES,3,FALSE),"")</f>
        <v/>
      </c>
      <c r="G25" s="25">
        <f>IFERROR(VLOOKUP(D25,TBL_PLANES,4,FALSE),"")</f>
        <v/>
      </c>
      <c r="H25" s="23" t="n"/>
      <c r="I25" s="23" t="n"/>
      <c r="J25" s="23" t="n"/>
      <c r="K25" s="23" t="n"/>
      <c r="L25" s="23" t="n"/>
      <c r="M25" s="23" t="n"/>
    </row>
    <row r="26">
      <c r="A26" s="23" t="n"/>
      <c r="B26" s="23" t="n"/>
      <c r="C26" s="24">
        <f>IFERROR(VLOOKUP(B26,TBL_CLIENTES,2,FALSE),"")</f>
        <v/>
      </c>
      <c r="D26" s="23" t="n"/>
      <c r="E26" s="24">
        <f>IFERROR(VLOOKUP(D26,TBL_PLANES,2,FALSE),"")</f>
        <v/>
      </c>
      <c r="F26" s="24">
        <f>IFERROR(VLOOKUP(D26,TBL_PLANES,3,FALSE),"")</f>
        <v/>
      </c>
      <c r="G26" s="25">
        <f>IFERROR(VLOOKUP(D26,TBL_PLANES,4,FALSE),"")</f>
        <v/>
      </c>
      <c r="H26" s="23" t="n"/>
      <c r="I26" s="23" t="n"/>
      <c r="J26" s="23" t="n"/>
      <c r="K26" s="23" t="n"/>
      <c r="L26" s="23" t="n"/>
      <c r="M26" s="23" t="n"/>
    </row>
    <row r="27">
      <c r="A27" s="23" t="n"/>
      <c r="B27" s="23" t="n"/>
      <c r="C27" s="24">
        <f>IFERROR(VLOOKUP(B27,TBL_CLIENTES,2,FALSE),"")</f>
        <v/>
      </c>
      <c r="D27" s="23" t="n"/>
      <c r="E27" s="24">
        <f>IFERROR(VLOOKUP(D27,TBL_PLANES,2,FALSE),"")</f>
        <v/>
      </c>
      <c r="F27" s="24">
        <f>IFERROR(VLOOKUP(D27,TBL_PLANES,3,FALSE),"")</f>
        <v/>
      </c>
      <c r="G27" s="25">
        <f>IFERROR(VLOOKUP(D27,TBL_PLANES,4,FALSE),"")</f>
        <v/>
      </c>
      <c r="H27" s="23" t="n"/>
      <c r="I27" s="23" t="n"/>
      <c r="J27" s="23" t="n"/>
      <c r="K27" s="23" t="n"/>
      <c r="L27" s="23" t="n"/>
      <c r="M27" s="23" t="n"/>
    </row>
    <row r="28">
      <c r="A28" s="23" t="n"/>
      <c r="B28" s="23" t="n"/>
      <c r="C28" s="24">
        <f>IFERROR(VLOOKUP(B28,TBL_CLIENTES,2,FALSE),"")</f>
        <v/>
      </c>
      <c r="D28" s="23" t="n"/>
      <c r="E28" s="24">
        <f>IFERROR(VLOOKUP(D28,TBL_PLANES,2,FALSE),"")</f>
        <v/>
      </c>
      <c r="F28" s="24">
        <f>IFERROR(VLOOKUP(D28,TBL_PLANES,3,FALSE),"")</f>
        <v/>
      </c>
      <c r="G28" s="25">
        <f>IFERROR(VLOOKUP(D28,TBL_PLANES,4,FALSE),"")</f>
        <v/>
      </c>
      <c r="H28" s="23" t="n"/>
      <c r="I28" s="23" t="n"/>
      <c r="J28" s="23" t="n"/>
      <c r="K28" s="23" t="n"/>
      <c r="L28" s="23" t="n"/>
      <c r="M28" s="23" t="n"/>
    </row>
    <row r="29">
      <c r="A29" s="23" t="n"/>
      <c r="B29" s="23" t="n"/>
      <c r="C29" s="24">
        <f>IFERROR(VLOOKUP(B29,TBL_CLIENTES,2,FALSE),"")</f>
        <v/>
      </c>
      <c r="D29" s="23" t="n"/>
      <c r="E29" s="24">
        <f>IFERROR(VLOOKUP(D29,TBL_PLANES,2,FALSE),"")</f>
        <v/>
      </c>
      <c r="F29" s="24">
        <f>IFERROR(VLOOKUP(D29,TBL_PLANES,3,FALSE),"")</f>
        <v/>
      </c>
      <c r="G29" s="25">
        <f>IFERROR(VLOOKUP(D29,TBL_PLANES,4,FALSE),"")</f>
        <v/>
      </c>
      <c r="H29" s="23" t="n"/>
      <c r="I29" s="23" t="n"/>
      <c r="J29" s="23" t="n"/>
      <c r="K29" s="23" t="n"/>
      <c r="L29" s="23" t="n"/>
      <c r="M29" s="23" t="n"/>
    </row>
  </sheetData>
  <mergeCells count="2">
    <mergeCell ref="A2:M2"/>
    <mergeCell ref="A1:M1"/>
  </mergeCells>
  <conditionalFormatting sqref="J5:J30">
    <cfRule type="expression" priority="1" dxfId="3">
      <formula>$J5="Activa"</formula>
    </cfRule>
    <cfRule type="expression" priority="2" dxfId="1">
      <formula>$J5="Pausada"</formula>
    </cfRule>
    <cfRule type="expression" priority="3" dxfId="5">
      <formula>$J5="Cancelada"</formula>
    </cfRule>
  </conditionalFormatting>
  <dataValidations count="5">
    <dataValidation sqref="D5:D30" showDropDown="0" showInputMessage="0" showErrorMessage="0" allowBlank="1" type="list">
      <formula1>=Planes!$A$5:$A$14</formula1>
    </dataValidation>
    <dataValidation sqref="B5:B30" showDropDown="0" showInputMessage="0" showErrorMessage="0" allowBlank="1" type="list">
      <formula1>=Clientes!$A$5:$A$30</formula1>
    </dataValidation>
    <dataValidation sqref="J5:J30" showDropDown="0" showInputMessage="0" showErrorMessage="0" allowBlank="1" type="list">
      <formula1>"Activa,Pausada,Cancelada"</formula1>
    </dataValidation>
    <dataValidation sqref="K5:K30" showDropDown="0" showInputMessage="0" showErrorMessage="0" allowBlank="1" type="list">
      <formula1>"Sí,No"</formula1>
    </dataValidation>
    <dataValidation sqref="L5:L30" showDropDown="0" showInputMessage="0" showErrorMessage="0" allowBlank="1" type="list">
      <formula1>"Transferencia,Tarjeta,Efectivo,PayPal,Otro"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8" customWidth="1" min="8" max="8"/>
    <col width="30" customWidth="1" min="9" max="9"/>
  </cols>
  <sheetData>
    <row r="1" ht="40" customHeight="1">
      <c r="A1" s="1" t="inlineStr">
        <is>
          <t>💳 PAGOS</t>
        </is>
      </c>
    </row>
    <row r="2" ht="18" customHeight="1">
      <c r="A2" s="2" t="inlineStr">
        <is>
          <t>Histórico de cobros · cada fila es un pago realizado</t>
        </is>
      </c>
    </row>
    <row r="4" ht="30" customHeight="1">
      <c r="A4" s="4" t="inlineStr">
        <is>
          <t>ID Pago</t>
        </is>
      </c>
      <c r="B4" s="4" t="inlineStr">
        <is>
          <t>Fecha pago</t>
        </is>
      </c>
      <c r="C4" s="4" t="inlineStr">
        <is>
          <t>ID Sub</t>
        </is>
      </c>
      <c r="D4" s="4" t="inlineStr">
        <is>
          <t>Cliente (auto)</t>
        </is>
      </c>
      <c r="E4" s="4" t="inlineStr">
        <is>
          <t>Plan (auto)</t>
        </is>
      </c>
      <c r="F4" s="4" t="inlineStr">
        <is>
          <t>Monto</t>
        </is>
      </c>
      <c r="G4" s="4" t="inlineStr">
        <is>
          <t>Método</t>
        </is>
      </c>
      <c r="H4" s="4" t="inlineStr">
        <is>
          <t>Período cubierto</t>
        </is>
      </c>
      <c r="I4" s="4" t="inlineStr">
        <is>
          <t>Notas</t>
        </is>
      </c>
    </row>
    <row r="5">
      <c r="A5" s="21" t="inlineStr">
        <is>
          <t>PAG-0001</t>
        </is>
      </c>
      <c r="B5" s="22" t="n">
        <v>46082</v>
      </c>
      <c r="C5" s="21" t="inlineStr">
        <is>
          <t>SUB-0001</t>
        </is>
      </c>
      <c r="D5" s="13">
        <f>IFERROR(VLOOKUP(C5,TBL_SUB,3,FALSE),"")</f>
        <v/>
      </c>
      <c r="E5" s="13">
        <f>IFERROR(VLOOKUP(C5,TBL_SUB,5,FALSE),"")</f>
        <v/>
      </c>
      <c r="F5" s="26" t="n">
        <v>80</v>
      </c>
      <c r="G5" s="21" t="inlineStr">
        <is>
          <t>Transferencia</t>
        </is>
      </c>
      <c r="H5" s="21" t="inlineStr">
        <is>
          <t>2026-03</t>
        </is>
      </c>
      <c r="I5" s="21" t="inlineStr"/>
    </row>
    <row r="6">
      <c r="A6" s="21" t="inlineStr">
        <is>
          <t>PAG-0002</t>
        </is>
      </c>
      <c r="B6" s="22" t="n">
        <v>46113</v>
      </c>
      <c r="C6" s="21" t="inlineStr">
        <is>
          <t>SUB-0001</t>
        </is>
      </c>
      <c r="D6" s="13">
        <f>IFERROR(VLOOKUP(C6,TBL_SUB,3,FALSE),"")</f>
        <v/>
      </c>
      <c r="E6" s="13">
        <f>IFERROR(VLOOKUP(C6,TBL_SUB,5,FALSE),"")</f>
        <v/>
      </c>
      <c r="F6" s="26" t="n">
        <v>80</v>
      </c>
      <c r="G6" s="21" t="inlineStr">
        <is>
          <t>Transferencia</t>
        </is>
      </c>
      <c r="H6" s="21" t="inlineStr">
        <is>
          <t>2026-04</t>
        </is>
      </c>
      <c r="I6" s="21" t="inlineStr"/>
    </row>
    <row r="7">
      <c r="A7" s="21" t="inlineStr">
        <is>
          <t>PAG-0003</t>
        </is>
      </c>
      <c r="B7" s="22" t="n">
        <v>46117</v>
      </c>
      <c r="C7" s="21" t="inlineStr">
        <is>
          <t>SUB-0002</t>
        </is>
      </c>
      <c r="D7" s="13">
        <f>IFERROR(VLOOKUP(C7,TBL_SUB,3,FALSE),"")</f>
        <v/>
      </c>
      <c r="E7" s="13">
        <f>IFERROR(VLOOKUP(C7,TBL_SUB,5,FALSE),"")</f>
        <v/>
      </c>
      <c r="F7" s="26" t="n">
        <v>40</v>
      </c>
      <c r="G7" s="21" t="inlineStr">
        <is>
          <t>Transferencia</t>
        </is>
      </c>
      <c r="H7" s="21" t="inlineStr">
        <is>
          <t>2026-04</t>
        </is>
      </c>
      <c r="I7" s="21" t="inlineStr"/>
    </row>
    <row r="8">
      <c r="A8" s="21" t="inlineStr">
        <is>
          <t>PAG-0004</t>
        </is>
      </c>
      <c r="B8" s="22" t="n">
        <v>46037</v>
      </c>
      <c r="C8" s="21" t="inlineStr">
        <is>
          <t>SUB-0003</t>
        </is>
      </c>
      <c r="D8" s="13">
        <f>IFERROR(VLOOKUP(C8,TBL_SUB,3,FALSE),"")</f>
        <v/>
      </c>
      <c r="E8" s="13">
        <f>IFERROR(VLOOKUP(C8,TBL_SUB,5,FALSE),"")</f>
        <v/>
      </c>
      <c r="F8" s="26" t="n">
        <v>150</v>
      </c>
      <c r="G8" s="21" t="inlineStr">
        <is>
          <t>Tarjeta</t>
        </is>
      </c>
      <c r="H8" s="21" t="inlineStr">
        <is>
          <t>2026-01</t>
        </is>
      </c>
      <c r="I8" s="21" t="inlineStr"/>
    </row>
    <row r="9">
      <c r="A9" s="21" t="inlineStr">
        <is>
          <t>PAG-0005</t>
        </is>
      </c>
      <c r="B9" s="22" t="n">
        <v>46068</v>
      </c>
      <c r="C9" s="21" t="inlineStr">
        <is>
          <t>SUB-0003</t>
        </is>
      </c>
      <c r="D9" s="13">
        <f>IFERROR(VLOOKUP(C9,TBL_SUB,3,FALSE),"")</f>
        <v/>
      </c>
      <c r="E9" s="13">
        <f>IFERROR(VLOOKUP(C9,TBL_SUB,5,FALSE),"")</f>
        <v/>
      </c>
      <c r="F9" s="26" t="n">
        <v>150</v>
      </c>
      <c r="G9" s="21" t="inlineStr">
        <is>
          <t>Tarjeta</t>
        </is>
      </c>
      <c r="H9" s="21" t="inlineStr">
        <is>
          <t>2026-02</t>
        </is>
      </c>
      <c r="I9" s="21" t="inlineStr"/>
    </row>
    <row r="10">
      <c r="A10" s="21" t="inlineStr">
        <is>
          <t>PAG-0006</t>
        </is>
      </c>
      <c r="B10" s="22" t="n">
        <v>46096</v>
      </c>
      <c r="C10" s="21" t="inlineStr">
        <is>
          <t>SUB-0003</t>
        </is>
      </c>
      <c r="D10" s="13">
        <f>IFERROR(VLOOKUP(C10,TBL_SUB,3,FALSE),"")</f>
        <v/>
      </c>
      <c r="E10" s="13">
        <f>IFERROR(VLOOKUP(C10,TBL_SUB,5,FALSE),"")</f>
        <v/>
      </c>
      <c r="F10" s="26" t="n">
        <v>150</v>
      </c>
      <c r="G10" s="21" t="inlineStr">
        <is>
          <t>Tarjeta</t>
        </is>
      </c>
      <c r="H10" s="21" t="inlineStr">
        <is>
          <t>2026-03</t>
        </is>
      </c>
      <c r="I10" s="21" t="inlineStr"/>
    </row>
    <row r="11">
      <c r="A11" s="21" t="inlineStr">
        <is>
          <t>PAG-0007</t>
        </is>
      </c>
      <c r="B11" s="22" t="n">
        <v>46127</v>
      </c>
      <c r="C11" s="21" t="inlineStr">
        <is>
          <t>SUB-0003</t>
        </is>
      </c>
      <c r="D11" s="13">
        <f>IFERROR(VLOOKUP(C11,TBL_SUB,3,FALSE),"")</f>
        <v/>
      </c>
      <c r="E11" s="13">
        <f>IFERROR(VLOOKUP(C11,TBL_SUB,5,FALSE),"")</f>
        <v/>
      </c>
      <c r="F11" s="26" t="n">
        <v>150</v>
      </c>
      <c r="G11" s="21" t="inlineStr">
        <is>
          <t>Tarjeta</t>
        </is>
      </c>
      <c r="H11" s="21" t="inlineStr">
        <is>
          <t>2026-04</t>
        </is>
      </c>
      <c r="I11" s="21" t="inlineStr"/>
    </row>
    <row r="12">
      <c r="A12" s="21" t="inlineStr">
        <is>
          <t>PAG-0008</t>
        </is>
      </c>
      <c r="B12" s="22" t="n">
        <v>46132</v>
      </c>
      <c r="C12" s="21" t="inlineStr">
        <is>
          <t>SUB-0004</t>
        </is>
      </c>
      <c r="D12" s="13">
        <f>IFERROR(VLOOKUP(C12,TBL_SUB,3,FALSE),"")</f>
        <v/>
      </c>
      <c r="E12" s="13">
        <f>IFERROR(VLOOKUP(C12,TBL_SUB,5,FALSE),"")</f>
        <v/>
      </c>
      <c r="F12" s="26" t="n">
        <v>80</v>
      </c>
      <c r="G12" s="21" t="inlineStr">
        <is>
          <t>Efectivo</t>
        </is>
      </c>
      <c r="H12" s="21" t="inlineStr">
        <is>
          <t>2026-04</t>
        </is>
      </c>
      <c r="I12" s="21" t="inlineStr"/>
    </row>
    <row r="13">
      <c r="A13" s="21" t="inlineStr">
        <is>
          <t>PAG-0009</t>
        </is>
      </c>
      <c r="B13" s="22" t="n">
        <v>46054</v>
      </c>
      <c r="C13" s="21" t="inlineStr">
        <is>
          <t>SUB-0005</t>
        </is>
      </c>
      <c r="D13" s="13">
        <f>IFERROR(VLOOKUP(C13,TBL_SUB,3,FALSE),"")</f>
        <v/>
      </c>
      <c r="E13" s="13">
        <f>IFERROR(VLOOKUP(C13,TBL_SUB,5,FALSE),"")</f>
        <v/>
      </c>
      <c r="F13" s="26" t="n">
        <v>800</v>
      </c>
      <c r="G13" s="21" t="inlineStr">
        <is>
          <t>Transferencia</t>
        </is>
      </c>
      <c r="H13" s="21" t="inlineStr">
        <is>
          <t>2026 anual</t>
        </is>
      </c>
      <c r="I13" s="21" t="inlineStr">
        <is>
          <t>Plan anual completo</t>
        </is>
      </c>
    </row>
    <row r="14">
      <c r="A14" s="23" t="n"/>
      <c r="B14" s="27" t="n"/>
      <c r="C14" s="23" t="n"/>
      <c r="D14" s="24">
        <f>IFERROR(VLOOKUP(C14,TBL_SUB,3,FALSE),"")</f>
        <v/>
      </c>
      <c r="E14" s="24">
        <f>IFERROR(VLOOKUP(C14,TBL_SUB,5,FALSE),"")</f>
        <v/>
      </c>
      <c r="F14" s="28" t="n"/>
      <c r="G14" s="23" t="n"/>
      <c r="H14" s="23" t="n"/>
      <c r="I14" s="23" t="n"/>
    </row>
    <row r="15">
      <c r="A15" s="23" t="n"/>
      <c r="B15" s="27" t="n"/>
      <c r="C15" s="23" t="n"/>
      <c r="D15" s="24">
        <f>IFERROR(VLOOKUP(C15,TBL_SUB,3,FALSE),"")</f>
        <v/>
      </c>
      <c r="E15" s="24">
        <f>IFERROR(VLOOKUP(C15,TBL_SUB,5,FALSE),"")</f>
        <v/>
      </c>
      <c r="F15" s="28" t="n"/>
      <c r="G15" s="23" t="n"/>
      <c r="H15" s="23" t="n"/>
      <c r="I15" s="23" t="n"/>
    </row>
    <row r="16">
      <c r="A16" s="23" t="n"/>
      <c r="B16" s="27" t="n"/>
      <c r="C16" s="23" t="n"/>
      <c r="D16" s="24">
        <f>IFERROR(VLOOKUP(C16,TBL_SUB,3,FALSE),"")</f>
        <v/>
      </c>
      <c r="E16" s="24">
        <f>IFERROR(VLOOKUP(C16,TBL_SUB,5,FALSE),"")</f>
        <v/>
      </c>
      <c r="F16" s="28" t="n"/>
      <c r="G16" s="23" t="n"/>
      <c r="H16" s="23" t="n"/>
      <c r="I16" s="23" t="n"/>
    </row>
    <row r="17">
      <c r="A17" s="23" t="n"/>
      <c r="B17" s="27" t="n"/>
      <c r="C17" s="23" t="n"/>
      <c r="D17" s="24">
        <f>IFERROR(VLOOKUP(C17,TBL_SUB,3,FALSE),"")</f>
        <v/>
      </c>
      <c r="E17" s="24">
        <f>IFERROR(VLOOKUP(C17,TBL_SUB,5,FALSE),"")</f>
        <v/>
      </c>
      <c r="F17" s="28" t="n"/>
      <c r="G17" s="23" t="n"/>
      <c r="H17" s="23" t="n"/>
      <c r="I17" s="23" t="n"/>
    </row>
    <row r="18">
      <c r="A18" s="23" t="n"/>
      <c r="B18" s="27" t="n"/>
      <c r="C18" s="23" t="n"/>
      <c r="D18" s="24">
        <f>IFERROR(VLOOKUP(C18,TBL_SUB,3,FALSE),"")</f>
        <v/>
      </c>
      <c r="E18" s="24">
        <f>IFERROR(VLOOKUP(C18,TBL_SUB,5,FALSE),"")</f>
        <v/>
      </c>
      <c r="F18" s="28" t="n"/>
      <c r="G18" s="23" t="n"/>
      <c r="H18" s="23" t="n"/>
      <c r="I18" s="23" t="n"/>
    </row>
    <row r="19">
      <c r="A19" s="23" t="n"/>
      <c r="B19" s="27" t="n"/>
      <c r="C19" s="23" t="n"/>
      <c r="D19" s="24">
        <f>IFERROR(VLOOKUP(C19,TBL_SUB,3,FALSE),"")</f>
        <v/>
      </c>
      <c r="E19" s="24">
        <f>IFERROR(VLOOKUP(C19,TBL_SUB,5,FALSE),"")</f>
        <v/>
      </c>
      <c r="F19" s="28" t="n"/>
      <c r="G19" s="23" t="n"/>
      <c r="H19" s="23" t="n"/>
      <c r="I19" s="23" t="n"/>
    </row>
    <row r="20">
      <c r="A20" s="23" t="n"/>
      <c r="B20" s="27" t="n"/>
      <c r="C20" s="23" t="n"/>
      <c r="D20" s="24">
        <f>IFERROR(VLOOKUP(C20,TBL_SUB,3,FALSE),"")</f>
        <v/>
      </c>
      <c r="E20" s="24">
        <f>IFERROR(VLOOKUP(C20,TBL_SUB,5,FALSE),"")</f>
        <v/>
      </c>
      <c r="F20" s="28" t="n"/>
      <c r="G20" s="23" t="n"/>
      <c r="H20" s="23" t="n"/>
      <c r="I20" s="23" t="n"/>
    </row>
    <row r="21">
      <c r="A21" s="23" t="n"/>
      <c r="B21" s="27" t="n"/>
      <c r="C21" s="23" t="n"/>
      <c r="D21" s="24">
        <f>IFERROR(VLOOKUP(C21,TBL_SUB,3,FALSE),"")</f>
        <v/>
      </c>
      <c r="E21" s="24">
        <f>IFERROR(VLOOKUP(C21,TBL_SUB,5,FALSE),"")</f>
        <v/>
      </c>
      <c r="F21" s="28" t="n"/>
      <c r="G21" s="23" t="n"/>
      <c r="H21" s="23" t="n"/>
      <c r="I21" s="23" t="n"/>
    </row>
    <row r="22">
      <c r="A22" s="23" t="n"/>
      <c r="B22" s="27" t="n"/>
      <c r="C22" s="23" t="n"/>
      <c r="D22" s="24">
        <f>IFERROR(VLOOKUP(C22,TBL_SUB,3,FALSE),"")</f>
        <v/>
      </c>
      <c r="E22" s="24">
        <f>IFERROR(VLOOKUP(C22,TBL_SUB,5,FALSE),"")</f>
        <v/>
      </c>
      <c r="F22" s="28" t="n"/>
      <c r="G22" s="23" t="n"/>
      <c r="H22" s="23" t="n"/>
      <c r="I22" s="23" t="n"/>
    </row>
    <row r="23">
      <c r="A23" s="23" t="n"/>
      <c r="B23" s="27" t="n"/>
      <c r="C23" s="23" t="n"/>
      <c r="D23" s="24">
        <f>IFERROR(VLOOKUP(C23,TBL_SUB,3,FALSE),"")</f>
        <v/>
      </c>
      <c r="E23" s="24">
        <f>IFERROR(VLOOKUP(C23,TBL_SUB,5,FALSE),"")</f>
        <v/>
      </c>
      <c r="F23" s="28" t="n"/>
      <c r="G23" s="23" t="n"/>
      <c r="H23" s="23" t="n"/>
      <c r="I23" s="23" t="n"/>
    </row>
    <row r="24">
      <c r="A24" s="23" t="n"/>
      <c r="B24" s="27" t="n"/>
      <c r="C24" s="23" t="n"/>
      <c r="D24" s="24">
        <f>IFERROR(VLOOKUP(C24,TBL_SUB,3,FALSE),"")</f>
        <v/>
      </c>
      <c r="E24" s="24">
        <f>IFERROR(VLOOKUP(C24,TBL_SUB,5,FALSE),"")</f>
        <v/>
      </c>
      <c r="F24" s="28" t="n"/>
      <c r="G24" s="23" t="n"/>
      <c r="H24" s="23" t="n"/>
      <c r="I24" s="23" t="n"/>
    </row>
    <row r="25">
      <c r="A25" s="23" t="n"/>
      <c r="B25" s="27" t="n"/>
      <c r="C25" s="23" t="n"/>
      <c r="D25" s="24">
        <f>IFERROR(VLOOKUP(C25,TBL_SUB,3,FALSE),"")</f>
        <v/>
      </c>
      <c r="E25" s="24">
        <f>IFERROR(VLOOKUP(C25,TBL_SUB,5,FALSE),"")</f>
        <v/>
      </c>
      <c r="F25" s="28" t="n"/>
      <c r="G25" s="23" t="n"/>
      <c r="H25" s="23" t="n"/>
      <c r="I25" s="23" t="n"/>
    </row>
    <row r="26">
      <c r="A26" s="23" t="n"/>
      <c r="B26" s="27" t="n"/>
      <c r="C26" s="23" t="n"/>
      <c r="D26" s="24">
        <f>IFERROR(VLOOKUP(C26,TBL_SUB,3,FALSE),"")</f>
        <v/>
      </c>
      <c r="E26" s="24">
        <f>IFERROR(VLOOKUP(C26,TBL_SUB,5,FALSE),"")</f>
        <v/>
      </c>
      <c r="F26" s="28" t="n"/>
      <c r="G26" s="23" t="n"/>
      <c r="H26" s="23" t="n"/>
      <c r="I26" s="23" t="n"/>
    </row>
    <row r="27">
      <c r="A27" s="23" t="n"/>
      <c r="B27" s="27" t="n"/>
      <c r="C27" s="23" t="n"/>
      <c r="D27" s="24">
        <f>IFERROR(VLOOKUP(C27,TBL_SUB,3,FALSE),"")</f>
        <v/>
      </c>
      <c r="E27" s="24">
        <f>IFERROR(VLOOKUP(C27,TBL_SUB,5,FALSE),"")</f>
        <v/>
      </c>
      <c r="F27" s="28" t="n"/>
      <c r="G27" s="23" t="n"/>
      <c r="H27" s="23" t="n"/>
      <c r="I27" s="23" t="n"/>
    </row>
    <row r="28">
      <c r="A28" s="23" t="n"/>
      <c r="B28" s="27" t="n"/>
      <c r="C28" s="23" t="n"/>
      <c r="D28" s="24">
        <f>IFERROR(VLOOKUP(C28,TBL_SUB,3,FALSE),"")</f>
        <v/>
      </c>
      <c r="E28" s="24">
        <f>IFERROR(VLOOKUP(C28,TBL_SUB,5,FALSE),"")</f>
        <v/>
      </c>
      <c r="F28" s="28" t="n"/>
      <c r="G28" s="23" t="n"/>
      <c r="H28" s="23" t="n"/>
      <c r="I28" s="23" t="n"/>
    </row>
    <row r="29">
      <c r="A29" s="23" t="n"/>
      <c r="B29" s="27" t="n"/>
      <c r="C29" s="23" t="n"/>
      <c r="D29" s="24">
        <f>IFERROR(VLOOKUP(C29,TBL_SUB,3,FALSE),"")</f>
        <v/>
      </c>
      <c r="E29" s="24">
        <f>IFERROR(VLOOKUP(C29,TBL_SUB,5,FALSE),"")</f>
        <v/>
      </c>
      <c r="F29" s="28" t="n"/>
      <c r="G29" s="23" t="n"/>
      <c r="H29" s="23" t="n"/>
      <c r="I29" s="23" t="n"/>
    </row>
    <row r="30">
      <c r="A30" s="23" t="n"/>
      <c r="B30" s="27" t="n"/>
      <c r="C30" s="23" t="n"/>
      <c r="D30" s="24">
        <f>IFERROR(VLOOKUP(C30,TBL_SUB,3,FALSE),"")</f>
        <v/>
      </c>
      <c r="E30" s="24">
        <f>IFERROR(VLOOKUP(C30,TBL_SUB,5,FALSE),"")</f>
        <v/>
      </c>
      <c r="F30" s="28" t="n"/>
      <c r="G30" s="23" t="n"/>
      <c r="H30" s="23" t="n"/>
      <c r="I30" s="23" t="n"/>
    </row>
    <row r="31">
      <c r="A31" s="23" t="n"/>
      <c r="B31" s="27" t="n"/>
      <c r="C31" s="23" t="n"/>
      <c r="D31" s="24">
        <f>IFERROR(VLOOKUP(C31,TBL_SUB,3,FALSE),"")</f>
        <v/>
      </c>
      <c r="E31" s="24">
        <f>IFERROR(VLOOKUP(C31,TBL_SUB,5,FALSE),"")</f>
        <v/>
      </c>
      <c r="F31" s="28" t="n"/>
      <c r="G31" s="23" t="n"/>
      <c r="H31" s="23" t="n"/>
      <c r="I31" s="23" t="n"/>
    </row>
    <row r="32">
      <c r="A32" s="23" t="n"/>
      <c r="B32" s="27" t="n"/>
      <c r="C32" s="23" t="n"/>
      <c r="D32" s="24">
        <f>IFERROR(VLOOKUP(C32,TBL_SUB,3,FALSE),"")</f>
        <v/>
      </c>
      <c r="E32" s="24">
        <f>IFERROR(VLOOKUP(C32,TBL_SUB,5,FALSE),"")</f>
        <v/>
      </c>
      <c r="F32" s="28" t="n"/>
      <c r="G32" s="23" t="n"/>
      <c r="H32" s="23" t="n"/>
      <c r="I32" s="23" t="n"/>
    </row>
    <row r="33">
      <c r="A33" s="23" t="n"/>
      <c r="B33" s="27" t="n"/>
      <c r="C33" s="23" t="n"/>
      <c r="D33" s="24">
        <f>IFERROR(VLOOKUP(C33,TBL_SUB,3,FALSE),"")</f>
        <v/>
      </c>
      <c r="E33" s="24">
        <f>IFERROR(VLOOKUP(C33,TBL_SUB,5,FALSE),"")</f>
        <v/>
      </c>
      <c r="F33" s="28" t="n"/>
      <c r="G33" s="23" t="n"/>
      <c r="H33" s="23" t="n"/>
      <c r="I33" s="23" t="n"/>
    </row>
    <row r="34">
      <c r="A34" s="23" t="n"/>
      <c r="B34" s="27" t="n"/>
      <c r="C34" s="23" t="n"/>
      <c r="D34" s="24">
        <f>IFERROR(VLOOKUP(C34,TBL_SUB,3,FALSE),"")</f>
        <v/>
      </c>
      <c r="E34" s="24">
        <f>IFERROR(VLOOKUP(C34,TBL_SUB,5,FALSE),"")</f>
        <v/>
      </c>
      <c r="F34" s="28" t="n"/>
      <c r="G34" s="23" t="n"/>
      <c r="H34" s="23" t="n"/>
      <c r="I34" s="23" t="n"/>
    </row>
    <row r="35">
      <c r="A35" s="23" t="n"/>
      <c r="B35" s="27" t="n"/>
      <c r="C35" s="23" t="n"/>
      <c r="D35" s="24">
        <f>IFERROR(VLOOKUP(C35,TBL_SUB,3,FALSE),"")</f>
        <v/>
      </c>
      <c r="E35" s="24">
        <f>IFERROR(VLOOKUP(C35,TBL_SUB,5,FALSE),"")</f>
        <v/>
      </c>
      <c r="F35" s="28" t="n"/>
      <c r="G35" s="23" t="n"/>
      <c r="H35" s="23" t="n"/>
      <c r="I35" s="23" t="n"/>
    </row>
    <row r="36">
      <c r="A36" s="23" t="n"/>
      <c r="B36" s="27" t="n"/>
      <c r="C36" s="23" t="n"/>
      <c r="D36" s="24">
        <f>IFERROR(VLOOKUP(C36,TBL_SUB,3,FALSE),"")</f>
        <v/>
      </c>
      <c r="E36" s="24">
        <f>IFERROR(VLOOKUP(C36,TBL_SUB,5,FALSE),"")</f>
        <v/>
      </c>
      <c r="F36" s="28" t="n"/>
      <c r="G36" s="23" t="n"/>
      <c r="H36" s="23" t="n"/>
      <c r="I36" s="23" t="n"/>
    </row>
    <row r="37">
      <c r="A37" s="23" t="n"/>
      <c r="B37" s="27" t="n"/>
      <c r="C37" s="23" t="n"/>
      <c r="D37" s="24">
        <f>IFERROR(VLOOKUP(C37,TBL_SUB,3,FALSE),"")</f>
        <v/>
      </c>
      <c r="E37" s="24">
        <f>IFERROR(VLOOKUP(C37,TBL_SUB,5,FALSE),"")</f>
        <v/>
      </c>
      <c r="F37" s="28" t="n"/>
      <c r="G37" s="23" t="n"/>
      <c r="H37" s="23" t="n"/>
      <c r="I37" s="23" t="n"/>
    </row>
    <row r="38">
      <c r="A38" s="23" t="n"/>
      <c r="B38" s="27" t="n"/>
      <c r="C38" s="23" t="n"/>
      <c r="D38" s="24">
        <f>IFERROR(VLOOKUP(C38,TBL_SUB,3,FALSE),"")</f>
        <v/>
      </c>
      <c r="E38" s="24">
        <f>IFERROR(VLOOKUP(C38,TBL_SUB,5,FALSE),"")</f>
        <v/>
      </c>
      <c r="F38" s="28" t="n"/>
      <c r="G38" s="23" t="n"/>
      <c r="H38" s="23" t="n"/>
      <c r="I38" s="23" t="n"/>
    </row>
    <row r="39">
      <c r="A39" s="23" t="n"/>
      <c r="B39" s="27" t="n"/>
      <c r="C39" s="23" t="n"/>
      <c r="D39" s="24">
        <f>IFERROR(VLOOKUP(C39,TBL_SUB,3,FALSE),"")</f>
        <v/>
      </c>
      <c r="E39" s="24">
        <f>IFERROR(VLOOKUP(C39,TBL_SUB,5,FALSE),"")</f>
        <v/>
      </c>
      <c r="F39" s="28" t="n"/>
      <c r="G39" s="23" t="n"/>
      <c r="H39" s="23" t="n"/>
      <c r="I39" s="23" t="n"/>
    </row>
    <row r="40">
      <c r="A40" s="23" t="n"/>
      <c r="B40" s="27" t="n"/>
      <c r="C40" s="23" t="n"/>
      <c r="D40" s="24">
        <f>IFERROR(VLOOKUP(C40,TBL_SUB,3,FALSE),"")</f>
        <v/>
      </c>
      <c r="E40" s="24">
        <f>IFERROR(VLOOKUP(C40,TBL_SUB,5,FALSE),"")</f>
        <v/>
      </c>
      <c r="F40" s="28" t="n"/>
      <c r="G40" s="23" t="n"/>
      <c r="H40" s="23" t="n"/>
      <c r="I40" s="23" t="n"/>
    </row>
    <row r="41">
      <c r="A41" s="23" t="n"/>
      <c r="B41" s="27" t="n"/>
      <c r="C41" s="23" t="n"/>
      <c r="D41" s="24">
        <f>IFERROR(VLOOKUP(C41,TBL_SUB,3,FALSE),"")</f>
        <v/>
      </c>
      <c r="E41" s="24">
        <f>IFERROR(VLOOKUP(C41,TBL_SUB,5,FALSE),"")</f>
        <v/>
      </c>
      <c r="F41" s="28" t="n"/>
      <c r="G41" s="23" t="n"/>
      <c r="H41" s="23" t="n"/>
      <c r="I41" s="23" t="n"/>
    </row>
    <row r="42">
      <c r="A42" s="23" t="n"/>
      <c r="B42" s="27" t="n"/>
      <c r="C42" s="23" t="n"/>
      <c r="D42" s="24">
        <f>IFERROR(VLOOKUP(C42,TBL_SUB,3,FALSE),"")</f>
        <v/>
      </c>
      <c r="E42" s="24">
        <f>IFERROR(VLOOKUP(C42,TBL_SUB,5,FALSE),"")</f>
        <v/>
      </c>
      <c r="F42" s="28" t="n"/>
      <c r="G42" s="23" t="n"/>
      <c r="H42" s="23" t="n"/>
      <c r="I42" s="23" t="n"/>
    </row>
    <row r="43">
      <c r="A43" s="23" t="n"/>
      <c r="B43" s="27" t="n"/>
      <c r="C43" s="23" t="n"/>
      <c r="D43" s="24">
        <f>IFERROR(VLOOKUP(C43,TBL_SUB,3,FALSE),"")</f>
        <v/>
      </c>
      <c r="E43" s="24">
        <f>IFERROR(VLOOKUP(C43,TBL_SUB,5,FALSE),"")</f>
        <v/>
      </c>
      <c r="F43" s="28" t="n"/>
      <c r="G43" s="23" t="n"/>
      <c r="H43" s="23" t="n"/>
      <c r="I43" s="23" t="n"/>
    </row>
    <row r="44">
      <c r="A44" s="23" t="n"/>
      <c r="B44" s="27" t="n"/>
      <c r="C44" s="23" t="n"/>
      <c r="D44" s="24">
        <f>IFERROR(VLOOKUP(C44,TBL_SUB,3,FALSE),"")</f>
        <v/>
      </c>
      <c r="E44" s="24">
        <f>IFERROR(VLOOKUP(C44,TBL_SUB,5,FALSE),"")</f>
        <v/>
      </c>
      <c r="F44" s="28" t="n"/>
      <c r="G44" s="23" t="n"/>
      <c r="H44" s="23" t="n"/>
      <c r="I44" s="23" t="n"/>
    </row>
    <row r="45">
      <c r="A45" s="23" t="n"/>
      <c r="B45" s="27" t="n"/>
      <c r="C45" s="23" t="n"/>
      <c r="D45" s="24">
        <f>IFERROR(VLOOKUP(C45,TBL_SUB,3,FALSE),"")</f>
        <v/>
      </c>
      <c r="E45" s="24">
        <f>IFERROR(VLOOKUP(C45,TBL_SUB,5,FALSE),"")</f>
        <v/>
      </c>
      <c r="F45" s="28" t="n"/>
      <c r="G45" s="23" t="n"/>
      <c r="H45" s="23" t="n"/>
      <c r="I45" s="23" t="n"/>
    </row>
    <row r="46">
      <c r="A46" s="23" t="n"/>
      <c r="B46" s="27" t="n"/>
      <c r="C46" s="23" t="n"/>
      <c r="D46" s="24">
        <f>IFERROR(VLOOKUP(C46,TBL_SUB,3,FALSE),"")</f>
        <v/>
      </c>
      <c r="E46" s="24">
        <f>IFERROR(VLOOKUP(C46,TBL_SUB,5,FALSE),"")</f>
        <v/>
      </c>
      <c r="F46" s="28" t="n"/>
      <c r="G46" s="23" t="n"/>
      <c r="H46" s="23" t="n"/>
      <c r="I46" s="23" t="n"/>
    </row>
    <row r="47">
      <c r="A47" s="23" t="n"/>
      <c r="B47" s="27" t="n"/>
      <c r="C47" s="23" t="n"/>
      <c r="D47" s="24">
        <f>IFERROR(VLOOKUP(C47,TBL_SUB,3,FALSE),"")</f>
        <v/>
      </c>
      <c r="E47" s="24">
        <f>IFERROR(VLOOKUP(C47,TBL_SUB,5,FALSE),"")</f>
        <v/>
      </c>
      <c r="F47" s="28" t="n"/>
      <c r="G47" s="23" t="n"/>
      <c r="H47" s="23" t="n"/>
      <c r="I47" s="23" t="n"/>
    </row>
    <row r="48">
      <c r="A48" s="23" t="n"/>
      <c r="B48" s="27" t="n"/>
      <c r="C48" s="23" t="n"/>
      <c r="D48" s="24">
        <f>IFERROR(VLOOKUP(C48,TBL_SUB,3,FALSE),"")</f>
        <v/>
      </c>
      <c r="E48" s="24">
        <f>IFERROR(VLOOKUP(C48,TBL_SUB,5,FALSE),"")</f>
        <v/>
      </c>
      <c r="F48" s="28" t="n"/>
      <c r="G48" s="23" t="n"/>
      <c r="H48" s="23" t="n"/>
      <c r="I48" s="23" t="n"/>
    </row>
    <row r="49">
      <c r="A49" s="23" t="n"/>
      <c r="B49" s="27" t="n"/>
      <c r="C49" s="23" t="n"/>
      <c r="D49" s="24">
        <f>IFERROR(VLOOKUP(C49,TBL_SUB,3,FALSE),"")</f>
        <v/>
      </c>
      <c r="E49" s="24">
        <f>IFERROR(VLOOKUP(C49,TBL_SUB,5,FALSE),"")</f>
        <v/>
      </c>
      <c r="F49" s="28" t="n"/>
      <c r="G49" s="23" t="n"/>
      <c r="H49" s="23" t="n"/>
      <c r="I49" s="23" t="n"/>
    </row>
  </sheetData>
  <mergeCells count="2">
    <mergeCell ref="A1:I1"/>
    <mergeCell ref="A2:I2"/>
  </mergeCells>
  <dataValidations count="2">
    <dataValidation sqref="C5:C50" showDropDown="0" showInputMessage="0" showErrorMessage="0" allowBlank="1" type="list">
      <formula1>=Suscripciones!$A$5:$A$30</formula1>
    </dataValidation>
    <dataValidation sqref="G5:G50" showDropDown="0" showInputMessage="0" showErrorMessage="0" allowBlank="1" type="list">
      <formula1>"Transferencia,Tarjeta,Efectivo,PayPal,Otro"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6" customWidth="1" min="4" max="4"/>
    <col width="14" customWidth="1" min="5" max="5"/>
    <col width="10" customWidth="1" min="6" max="6"/>
    <col width="36" customWidth="1" min="7" max="7"/>
  </cols>
  <sheetData>
    <row r="1" ht="40" customHeight="1">
      <c r="A1" s="1" t="inlineStr">
        <is>
          <t>👤 CLIENTES</t>
        </is>
      </c>
    </row>
    <row r="2" ht="18" customHeight="1">
      <c r="A2" s="2" t="inlineStr">
        <is>
          <t>Maestro de clientes con suscripción activa o histórica</t>
        </is>
      </c>
    </row>
    <row r="4" ht="30" customHeight="1">
      <c r="A4" s="4" t="inlineStr">
        <is>
          <t>ID Cliente</t>
        </is>
      </c>
      <c r="B4" s="4" t="inlineStr">
        <is>
          <t>Nombre</t>
        </is>
      </c>
      <c r="C4" s="4" t="inlineStr">
        <is>
          <t>Email</t>
        </is>
      </c>
      <c r="D4" s="4" t="inlineStr">
        <is>
          <t>Teléfono</t>
        </is>
      </c>
      <c r="E4" s="4" t="inlineStr">
        <is>
          <t>Fecha alta</t>
        </is>
      </c>
      <c r="F4" s="4" t="inlineStr">
        <is>
          <t>Activo</t>
        </is>
      </c>
      <c r="G4" s="4" t="inlineStr">
        <is>
          <t>Notas</t>
        </is>
      </c>
    </row>
    <row r="5">
      <c r="A5" s="21" t="inlineStr">
        <is>
          <t>CLI-001</t>
        </is>
      </c>
      <c r="B5" s="21" t="inlineStr">
        <is>
          <t>Jhon Amaya</t>
        </is>
      </c>
      <c r="C5" s="21" t="inlineStr">
        <is>
          <t>jhon@paranoia.com</t>
        </is>
      </c>
      <c r="D5" s="21" t="inlineStr">
        <is>
          <t>+57 300 111 1111</t>
        </is>
      </c>
      <c r="E5" s="22" t="n">
        <v>46078</v>
      </c>
      <c r="F5" s="21" t="inlineStr">
        <is>
          <t>Sí</t>
        </is>
      </c>
      <c r="G5" s="21" t="inlineStr">
        <is>
          <t>Cliente desde marzo 2026</t>
        </is>
      </c>
    </row>
    <row r="6">
      <c r="A6" s="21" t="inlineStr">
        <is>
          <t>CLI-002</t>
        </is>
      </c>
      <c r="B6" s="21" t="inlineStr">
        <is>
          <t>Restfull</t>
        </is>
      </c>
      <c r="C6" s="21" t="inlineStr">
        <is>
          <t>ops@restfull.com</t>
        </is>
      </c>
      <c r="D6" s="21" t="inlineStr">
        <is>
          <t>+57 300 222 2222</t>
        </is>
      </c>
      <c r="E6" s="22" t="n">
        <v>46113</v>
      </c>
      <c r="F6" s="21" t="inlineStr">
        <is>
          <t>Sí</t>
        </is>
      </c>
      <c r="G6" s="21" t="inlineStr"/>
    </row>
    <row r="7">
      <c r="A7" s="21" t="inlineStr">
        <is>
          <t>CLI-003</t>
        </is>
      </c>
      <c r="B7" s="21" t="inlineStr">
        <is>
          <t>Juli Riofrío</t>
        </is>
      </c>
      <c r="C7" s="21" t="inlineStr">
        <is>
          <t>juli@avenaza.com</t>
        </is>
      </c>
      <c r="D7" s="21" t="inlineStr">
        <is>
          <t>+57 300 333 3333</t>
        </is>
      </c>
      <c r="E7" s="22" t="n">
        <v>46032</v>
      </c>
      <c r="F7" s="21" t="inlineStr">
        <is>
          <t>Sí</t>
        </is>
      </c>
      <c r="G7" s="21" t="inlineStr">
        <is>
          <t>Premium</t>
        </is>
      </c>
    </row>
    <row r="8">
      <c r="A8" s="21" t="inlineStr">
        <is>
          <t>CLI-004</t>
        </is>
      </c>
      <c r="B8" s="21" t="inlineStr">
        <is>
          <t>Jean Aguilar</t>
        </is>
      </c>
      <c r="C8" s="21" t="inlineStr">
        <is>
          <t>jean@cortepiedra.co</t>
        </is>
      </c>
      <c r="D8" s="21" t="inlineStr">
        <is>
          <t>+57 300 444 4444</t>
        </is>
      </c>
      <c r="E8" s="22" t="n">
        <v>46130</v>
      </c>
      <c r="F8" s="21" t="inlineStr">
        <is>
          <t>Sí</t>
        </is>
      </c>
      <c r="G8" s="21" t="inlineStr">
        <is>
          <t>Pago manual</t>
        </is>
      </c>
    </row>
    <row r="9">
      <c r="A9" s="21" t="inlineStr">
        <is>
          <t>CLI-005</t>
        </is>
      </c>
      <c r="B9" s="21" t="inlineStr">
        <is>
          <t>Avenaza SA</t>
        </is>
      </c>
      <c r="C9" s="21" t="inlineStr">
        <is>
          <t>facturacion@avenaza.com</t>
        </is>
      </c>
      <c r="D9" s="21" t="inlineStr">
        <is>
          <t>+57 300 555 5555</t>
        </is>
      </c>
      <c r="E9" s="22" t="n">
        <v>46052</v>
      </c>
      <c r="F9" s="21" t="inlineStr">
        <is>
          <t>Sí</t>
        </is>
      </c>
      <c r="G9" s="21" t="inlineStr">
        <is>
          <t>Plan anual</t>
        </is>
      </c>
    </row>
    <row r="10">
      <c r="A10" s="21" t="inlineStr">
        <is>
          <t>CLI-006</t>
        </is>
      </c>
      <c r="B10" s="21" t="inlineStr">
        <is>
          <t>Demo Cliente</t>
        </is>
      </c>
      <c r="C10" s="21" t="inlineStr">
        <is>
          <t>demo@mateai.com</t>
        </is>
      </c>
      <c r="D10" s="21" t="inlineStr">
        <is>
          <t>+57 300 666 6666</t>
        </is>
      </c>
      <c r="E10" s="22" t="n">
        <v>46137</v>
      </c>
      <c r="F10" s="21" t="inlineStr">
        <is>
          <t>Sí</t>
        </is>
      </c>
      <c r="G10" s="21" t="inlineStr">
        <is>
          <t>Trial extendido</t>
        </is>
      </c>
    </row>
    <row r="11">
      <c r="A11" s="23" t="n"/>
      <c r="B11" s="23" t="n"/>
      <c r="C11" s="23" t="n"/>
      <c r="D11" s="23" t="n"/>
      <c r="E11" s="23" t="n"/>
      <c r="F11" s="23" t="n"/>
      <c r="G11" s="23" t="n"/>
    </row>
    <row r="12">
      <c r="A12" s="23" t="n"/>
      <c r="B12" s="23" t="n"/>
      <c r="C12" s="23" t="n"/>
      <c r="D12" s="23" t="n"/>
      <c r="E12" s="23" t="n"/>
      <c r="F12" s="23" t="n"/>
      <c r="G12" s="23" t="n"/>
    </row>
    <row r="13">
      <c r="A13" s="23" t="n"/>
      <c r="B13" s="23" t="n"/>
      <c r="C13" s="23" t="n"/>
      <c r="D13" s="23" t="n"/>
      <c r="E13" s="23" t="n"/>
      <c r="F13" s="23" t="n"/>
      <c r="G13" s="23" t="n"/>
    </row>
    <row r="14">
      <c r="A14" s="23" t="n"/>
      <c r="B14" s="23" t="n"/>
      <c r="C14" s="23" t="n"/>
      <c r="D14" s="23" t="n"/>
      <c r="E14" s="23" t="n"/>
      <c r="F14" s="23" t="n"/>
      <c r="G14" s="23" t="n"/>
    </row>
    <row r="15">
      <c r="A15" s="23" t="n"/>
      <c r="B15" s="23" t="n"/>
      <c r="C15" s="23" t="n"/>
      <c r="D15" s="23" t="n"/>
      <c r="E15" s="23" t="n"/>
      <c r="F15" s="23" t="n"/>
      <c r="G15" s="23" t="n"/>
    </row>
    <row r="16">
      <c r="A16" s="23" t="n"/>
      <c r="B16" s="23" t="n"/>
      <c r="C16" s="23" t="n"/>
      <c r="D16" s="23" t="n"/>
      <c r="E16" s="23" t="n"/>
      <c r="F16" s="23" t="n"/>
      <c r="G16" s="23" t="n"/>
    </row>
    <row r="17">
      <c r="A17" s="23" t="n"/>
      <c r="B17" s="23" t="n"/>
      <c r="C17" s="23" t="n"/>
      <c r="D17" s="23" t="n"/>
      <c r="E17" s="23" t="n"/>
      <c r="F17" s="23" t="n"/>
      <c r="G17" s="23" t="n"/>
    </row>
    <row r="18">
      <c r="A18" s="23" t="n"/>
      <c r="B18" s="23" t="n"/>
      <c r="C18" s="23" t="n"/>
      <c r="D18" s="23" t="n"/>
      <c r="E18" s="23" t="n"/>
      <c r="F18" s="23" t="n"/>
      <c r="G18" s="23" t="n"/>
    </row>
    <row r="19">
      <c r="A19" s="23" t="n"/>
      <c r="B19" s="23" t="n"/>
      <c r="C19" s="23" t="n"/>
      <c r="D19" s="23" t="n"/>
      <c r="E19" s="23" t="n"/>
      <c r="F19" s="23" t="n"/>
      <c r="G19" s="23" t="n"/>
    </row>
    <row r="20">
      <c r="A20" s="23" t="n"/>
      <c r="B20" s="23" t="n"/>
      <c r="C20" s="23" t="n"/>
      <c r="D20" s="23" t="n"/>
      <c r="E20" s="23" t="n"/>
      <c r="F20" s="23" t="n"/>
      <c r="G20" s="23" t="n"/>
    </row>
    <row r="21">
      <c r="A21" s="23" t="n"/>
      <c r="B21" s="23" t="n"/>
      <c r="C21" s="23" t="n"/>
      <c r="D21" s="23" t="n"/>
      <c r="E21" s="23" t="n"/>
      <c r="F21" s="23" t="n"/>
      <c r="G21" s="23" t="n"/>
    </row>
    <row r="22">
      <c r="A22" s="23" t="n"/>
      <c r="B22" s="23" t="n"/>
      <c r="C22" s="23" t="n"/>
      <c r="D22" s="23" t="n"/>
      <c r="E22" s="23" t="n"/>
      <c r="F22" s="23" t="n"/>
      <c r="G22" s="23" t="n"/>
    </row>
    <row r="23">
      <c r="A23" s="23" t="n"/>
      <c r="B23" s="23" t="n"/>
      <c r="C23" s="23" t="n"/>
      <c r="D23" s="23" t="n"/>
      <c r="E23" s="23" t="n"/>
      <c r="F23" s="23" t="n"/>
      <c r="G23" s="23" t="n"/>
    </row>
    <row r="24">
      <c r="A24" s="23" t="n"/>
      <c r="B24" s="23" t="n"/>
      <c r="C24" s="23" t="n"/>
      <c r="D24" s="23" t="n"/>
      <c r="E24" s="23" t="n"/>
      <c r="F24" s="23" t="n"/>
      <c r="G24" s="23" t="n"/>
    </row>
    <row r="25">
      <c r="A25" s="23" t="n"/>
      <c r="B25" s="23" t="n"/>
      <c r="C25" s="23" t="n"/>
      <c r="D25" s="23" t="n"/>
      <c r="E25" s="23" t="n"/>
      <c r="F25" s="23" t="n"/>
      <c r="G25" s="23" t="n"/>
    </row>
    <row r="26">
      <c r="A26" s="23" t="n"/>
      <c r="B26" s="23" t="n"/>
      <c r="C26" s="23" t="n"/>
      <c r="D26" s="23" t="n"/>
      <c r="E26" s="23" t="n"/>
      <c r="F26" s="23" t="n"/>
      <c r="G26" s="23" t="n"/>
    </row>
    <row r="27">
      <c r="A27" s="23" t="n"/>
      <c r="B27" s="23" t="n"/>
      <c r="C27" s="23" t="n"/>
      <c r="D27" s="23" t="n"/>
      <c r="E27" s="23" t="n"/>
      <c r="F27" s="23" t="n"/>
      <c r="G27" s="23" t="n"/>
    </row>
    <row r="28">
      <c r="A28" s="23" t="n"/>
      <c r="B28" s="23" t="n"/>
      <c r="C28" s="23" t="n"/>
      <c r="D28" s="23" t="n"/>
      <c r="E28" s="23" t="n"/>
      <c r="F28" s="23" t="n"/>
      <c r="G28" s="23" t="n"/>
    </row>
    <row r="29">
      <c r="A29" s="23" t="n"/>
      <c r="B29" s="23" t="n"/>
      <c r="C29" s="23" t="n"/>
      <c r="D29" s="23" t="n"/>
      <c r="E29" s="23" t="n"/>
      <c r="F29" s="23" t="n"/>
      <c r="G29" s="23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48" customWidth="1" min="6" max="6"/>
    <col width="10" customWidth="1" min="7" max="7"/>
  </cols>
  <sheetData>
    <row r="1" ht="40" customHeight="1">
      <c r="A1" s="1" t="inlineStr">
        <is>
          <t>📋 PLANES</t>
        </is>
      </c>
    </row>
    <row r="2" ht="18" customHeight="1">
      <c r="A2" s="2" t="inlineStr">
        <is>
          <t>Catálogo maestro de planes de suscripción</t>
        </is>
      </c>
    </row>
    <row r="4" ht="30" customHeight="1">
      <c r="A4" s="4" t="inlineStr">
        <is>
          <t>ID Plan</t>
        </is>
      </c>
      <c r="B4" s="4" t="inlineStr">
        <is>
          <t>Nombre</t>
        </is>
      </c>
      <c r="C4" s="4" t="inlineStr">
        <is>
          <t>Periodicidad</t>
        </is>
      </c>
      <c r="D4" s="4" t="inlineStr">
        <is>
          <t>Precio</t>
        </is>
      </c>
      <c r="E4" s="4" t="inlineStr">
        <is>
          <t>Puntos por ciclo</t>
        </is>
      </c>
      <c r="F4" s="4" t="inlineStr">
        <is>
          <t>Beneficios incluidos</t>
        </is>
      </c>
      <c r="G4" s="4" t="inlineStr">
        <is>
          <t>Activo</t>
        </is>
      </c>
    </row>
    <row r="5">
      <c r="A5" s="21" t="inlineStr">
        <is>
          <t>PLAN-BASIC</t>
        </is>
      </c>
      <c r="B5" s="21" t="inlineStr">
        <is>
          <t>Basic</t>
        </is>
      </c>
      <c r="C5" s="21" t="inlineStr">
        <is>
          <t>Mensual</t>
        </is>
      </c>
      <c r="D5" s="26" t="n">
        <v>40</v>
      </c>
      <c r="E5" s="29" t="n">
        <v>50</v>
      </c>
      <c r="F5" s="21" t="inlineStr">
        <is>
          <t>Soporte estándar · 1 reward/mes</t>
        </is>
      </c>
      <c r="G5" s="21" t="inlineStr">
        <is>
          <t>Sí</t>
        </is>
      </c>
    </row>
    <row r="6">
      <c r="A6" s="21" t="inlineStr">
        <is>
          <t>PLAN-PRO</t>
        </is>
      </c>
      <c r="B6" s="21" t="inlineStr">
        <is>
          <t>Pro</t>
        </is>
      </c>
      <c r="C6" s="21" t="inlineStr">
        <is>
          <t>Mensual</t>
        </is>
      </c>
      <c r="D6" s="26" t="n">
        <v>80</v>
      </c>
      <c r="E6" s="29" t="n">
        <v>100</v>
      </c>
      <c r="F6" s="21" t="inlineStr">
        <is>
          <t>Soporte prioritario · 2 rewards · 5% desc. upsell</t>
        </is>
      </c>
      <c r="G6" s="21" t="inlineStr">
        <is>
          <t>Sí</t>
        </is>
      </c>
    </row>
    <row r="7">
      <c r="A7" s="21" t="inlineStr">
        <is>
          <t>PLAN-ELITE</t>
        </is>
      </c>
      <c r="B7" s="21" t="inlineStr">
        <is>
          <t>Elite</t>
        </is>
      </c>
      <c r="C7" s="21" t="inlineStr">
        <is>
          <t>Mensual</t>
        </is>
      </c>
      <c r="D7" s="26" t="n">
        <v>150</v>
      </c>
      <c r="E7" s="29" t="n">
        <v>200</v>
      </c>
      <c r="F7" s="21" t="inlineStr">
        <is>
          <t>Soporte 24/7 · rewards ilimitados · 10% desc.</t>
        </is>
      </c>
      <c r="G7" s="21" t="inlineStr">
        <is>
          <t>Sí</t>
        </is>
      </c>
    </row>
    <row r="8">
      <c r="A8" s="21" t="inlineStr">
        <is>
          <t>PLAN-ANUAL</t>
        </is>
      </c>
      <c r="B8" s="21" t="inlineStr">
        <is>
          <t>Pro Anual</t>
        </is>
      </c>
      <c r="C8" s="21" t="inlineStr">
        <is>
          <t>Anual</t>
        </is>
      </c>
      <c r="D8" s="26" t="n">
        <v>800</v>
      </c>
      <c r="E8" s="29" t="n">
        <v>1500</v>
      </c>
      <c r="F8" s="21" t="inlineStr">
        <is>
          <t>Plan Pro pagado anual · 2 meses gratis</t>
        </is>
      </c>
      <c r="G8" s="21" t="inlineStr">
        <is>
          <t>Sí</t>
        </is>
      </c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11">
      <c r="A11" s="23" t="n"/>
      <c r="B11" s="23" t="n"/>
      <c r="C11" s="23" t="n"/>
      <c r="D11" s="23" t="n"/>
      <c r="E11" s="23" t="n"/>
      <c r="F11" s="23" t="n"/>
      <c r="G11" s="23" t="n"/>
    </row>
    <row r="12">
      <c r="A12" s="23" t="n"/>
      <c r="B12" s="23" t="n"/>
      <c r="C12" s="23" t="n"/>
      <c r="D12" s="23" t="n"/>
      <c r="E12" s="23" t="n"/>
      <c r="F12" s="23" t="n"/>
      <c r="G12" s="23" t="n"/>
    </row>
    <row r="13">
      <c r="A13" s="23" t="n"/>
      <c r="B13" s="23" t="n"/>
      <c r="C13" s="23" t="n"/>
      <c r="D13" s="23" t="n"/>
      <c r="E13" s="23" t="n"/>
      <c r="F13" s="23" t="n"/>
      <c r="G13" s="23" t="n"/>
    </row>
    <row r="14">
      <c r="A14" s="23" t="n"/>
      <c r="B14" s="23" t="n"/>
      <c r="C14" s="23" t="n"/>
      <c r="D14" s="23" t="n"/>
      <c r="E14" s="23" t="n"/>
      <c r="F14" s="23" t="n"/>
      <c r="G14" s="23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10" customWidth="1" min="7" max="7"/>
  </cols>
  <sheetData>
    <row r="1" ht="40" customHeight="1">
      <c r="A1" s="1" t="inlineStr">
        <is>
          <t>🎁 REWARDS</t>
        </is>
      </c>
    </row>
    <row r="2" ht="18" customHeight="1">
      <c r="A2" s="2" t="inlineStr">
        <is>
          <t>Catálogo de beneficios canjeables con puntos</t>
        </is>
      </c>
    </row>
    <row r="4" ht="30" customHeight="1">
      <c r="A4" s="4" t="inlineStr">
        <is>
          <t>ID Reward</t>
        </is>
      </c>
      <c r="B4" s="4" t="inlineStr">
        <is>
          <t>Nombre</t>
        </is>
      </c>
      <c r="C4" s="4" t="inlineStr">
        <is>
          <t>Tipo</t>
        </is>
      </c>
      <c r="D4" s="4" t="inlineStr">
        <is>
          <t>Costo puntos</t>
        </is>
      </c>
      <c r="E4" s="4" t="inlineStr">
        <is>
          <t>Plan mínimo</t>
        </is>
      </c>
      <c r="F4" s="4" t="inlineStr">
        <is>
          <t>Descripción</t>
        </is>
      </c>
      <c r="G4" s="4" t="inlineStr">
        <is>
          <t>Activo</t>
        </is>
      </c>
    </row>
    <row r="5">
      <c r="A5" s="21" t="inlineStr">
        <is>
          <t>RW-001</t>
        </is>
      </c>
      <c r="B5" s="21" t="inlineStr">
        <is>
          <t>Descuento 10%</t>
        </is>
      </c>
      <c r="C5" s="21" t="inlineStr">
        <is>
          <t>Descuento</t>
        </is>
      </c>
      <c r="D5" s="29" t="n">
        <v>100</v>
      </c>
      <c r="E5" s="21" t="inlineStr">
        <is>
          <t>PLAN-BASIC</t>
        </is>
      </c>
      <c r="F5" s="21" t="inlineStr">
        <is>
          <t>10% off en próximo upsell</t>
        </is>
      </c>
      <c r="G5" s="21" t="inlineStr">
        <is>
          <t>Sí</t>
        </is>
      </c>
    </row>
    <row r="6">
      <c r="A6" s="21" t="inlineStr">
        <is>
          <t>RW-002</t>
        </is>
      </c>
      <c r="B6" s="21" t="inlineStr">
        <is>
          <t>Descuento 25%</t>
        </is>
      </c>
      <c r="C6" s="21" t="inlineStr">
        <is>
          <t>Descuento</t>
        </is>
      </c>
      <c r="D6" s="29" t="n">
        <v>250</v>
      </c>
      <c r="E6" s="21" t="inlineStr">
        <is>
          <t>PLAN-PRO</t>
        </is>
      </c>
      <c r="F6" s="21" t="inlineStr">
        <is>
          <t>25% off en próximo upsell</t>
        </is>
      </c>
      <c r="G6" s="21" t="inlineStr">
        <is>
          <t>Sí</t>
        </is>
      </c>
    </row>
    <row r="7">
      <c r="A7" s="21" t="inlineStr">
        <is>
          <t>RW-003</t>
        </is>
      </c>
      <c r="B7" s="21" t="inlineStr">
        <is>
          <t>Mes gratis</t>
        </is>
      </c>
      <c r="C7" s="21" t="inlineStr">
        <is>
          <t>Suscripción</t>
        </is>
      </c>
      <c r="D7" s="29" t="n">
        <v>500</v>
      </c>
      <c r="E7" s="21" t="inlineStr">
        <is>
          <t>PLAN-PRO</t>
        </is>
      </c>
      <c r="F7" s="21" t="inlineStr">
        <is>
          <t>1 mes gratis al renovar</t>
        </is>
      </c>
      <c r="G7" s="21" t="inlineStr">
        <is>
          <t>Sí</t>
        </is>
      </c>
    </row>
    <row r="8">
      <c r="A8" s="21" t="inlineStr">
        <is>
          <t>RW-004</t>
        </is>
      </c>
      <c r="B8" s="21" t="inlineStr">
        <is>
          <t>Consultoría 30 min</t>
        </is>
      </c>
      <c r="C8" s="21" t="inlineStr">
        <is>
          <t>Servicio</t>
        </is>
      </c>
      <c r="D8" s="29" t="n">
        <v>300</v>
      </c>
      <c r="E8" s="21" t="inlineStr">
        <is>
          <t>PLAN-PRO</t>
        </is>
      </c>
      <c r="F8" s="21" t="inlineStr">
        <is>
          <t>Sesión 1:1 con especialista</t>
        </is>
      </c>
      <c r="G8" s="21" t="inlineStr">
        <is>
          <t>Sí</t>
        </is>
      </c>
    </row>
    <row r="9">
      <c r="A9" s="21" t="inlineStr">
        <is>
          <t>RW-005</t>
        </is>
      </c>
      <c r="B9" s="21" t="inlineStr">
        <is>
          <t>Consultoría 60 min</t>
        </is>
      </c>
      <c r="C9" s="21" t="inlineStr">
        <is>
          <t>Servicio</t>
        </is>
      </c>
      <c r="D9" s="29" t="n">
        <v>600</v>
      </c>
      <c r="E9" s="21" t="inlineStr">
        <is>
          <t>PLAN-ELITE</t>
        </is>
      </c>
      <c r="F9" s="21" t="inlineStr">
        <is>
          <t>Sesión estratégica 60 min</t>
        </is>
      </c>
      <c r="G9" s="21" t="inlineStr">
        <is>
          <t>Sí</t>
        </is>
      </c>
    </row>
    <row r="10">
      <c r="A10" s="21" t="inlineStr">
        <is>
          <t>RW-006</t>
        </is>
      </c>
      <c r="B10" s="21" t="inlineStr">
        <is>
          <t>Acceso early features</t>
        </is>
      </c>
      <c r="C10" s="21" t="inlineStr">
        <is>
          <t>Acceso</t>
        </is>
      </c>
      <c r="D10" s="29" t="n">
        <v>150</v>
      </c>
      <c r="E10" s="21" t="inlineStr">
        <is>
          <t>PLAN-BASIC</t>
        </is>
      </c>
      <c r="F10" s="21" t="inlineStr">
        <is>
          <t>Beta de nuevas funciones</t>
        </is>
      </c>
      <c r="G10" s="21" t="inlineStr">
        <is>
          <t>Sí</t>
        </is>
      </c>
    </row>
    <row r="11">
      <c r="A11" s="21" t="inlineStr">
        <is>
          <t>RW-007</t>
        </is>
      </c>
      <c r="B11" s="21" t="inlineStr">
        <is>
          <t>Branding pack</t>
        </is>
      </c>
      <c r="C11" s="21" t="inlineStr">
        <is>
          <t>Producto</t>
        </is>
      </c>
      <c r="D11" s="29" t="n">
        <v>400</v>
      </c>
      <c r="E11" s="21" t="inlineStr">
        <is>
          <t>PLAN-PRO</t>
        </is>
      </c>
      <c r="F11" s="21" t="inlineStr">
        <is>
          <t>Plantillas de marca exclusivas</t>
        </is>
      </c>
      <c r="G11" s="21" t="inlineStr">
        <is>
          <t>Sí</t>
        </is>
      </c>
    </row>
    <row r="12">
      <c r="A12" s="21" t="inlineStr">
        <is>
          <t>RW-008</t>
        </is>
      </c>
      <c r="B12" s="21" t="inlineStr">
        <is>
          <t>Auditoría completa</t>
        </is>
      </c>
      <c r="C12" s="21" t="inlineStr">
        <is>
          <t>Servicio</t>
        </is>
      </c>
      <c r="D12" s="29" t="n">
        <v>1000</v>
      </c>
      <c r="E12" s="21" t="inlineStr">
        <is>
          <t>PLAN-ELITE</t>
        </is>
      </c>
      <c r="F12" s="21" t="inlineStr">
        <is>
          <t>Auditoría de negocio integral</t>
        </is>
      </c>
      <c r="G12" s="21" t="inlineStr">
        <is>
          <t>Sí</t>
        </is>
      </c>
    </row>
    <row r="13">
      <c r="A13" s="23" t="n"/>
      <c r="B13" s="23" t="n"/>
      <c r="C13" s="23" t="n"/>
      <c r="D13" s="23" t="n"/>
      <c r="E13" s="23" t="n"/>
      <c r="F13" s="23" t="n"/>
      <c r="G13" s="23" t="n"/>
    </row>
    <row r="14">
      <c r="A14" s="23" t="n"/>
      <c r="B14" s="23" t="n"/>
      <c r="C14" s="23" t="n"/>
      <c r="D14" s="23" t="n"/>
      <c r="E14" s="23" t="n"/>
      <c r="F14" s="23" t="n"/>
      <c r="G14" s="23" t="n"/>
    </row>
    <row r="15">
      <c r="A15" s="23" t="n"/>
      <c r="B15" s="23" t="n"/>
      <c r="C15" s="23" t="n"/>
      <c r="D15" s="23" t="n"/>
      <c r="E15" s="23" t="n"/>
      <c r="F15" s="23" t="n"/>
      <c r="G15" s="23" t="n"/>
    </row>
    <row r="16">
      <c r="A16" s="23" t="n"/>
      <c r="B16" s="23" t="n"/>
      <c r="C16" s="23" t="n"/>
      <c r="D16" s="23" t="n"/>
      <c r="E16" s="23" t="n"/>
      <c r="F16" s="23" t="n"/>
      <c r="G16" s="23" t="n"/>
    </row>
    <row r="17">
      <c r="A17" s="23" t="n"/>
      <c r="B17" s="23" t="n"/>
      <c r="C17" s="23" t="n"/>
      <c r="D17" s="23" t="n"/>
      <c r="E17" s="23" t="n"/>
      <c r="F17" s="23" t="n"/>
      <c r="G17" s="23" t="n"/>
    </row>
    <row r="18">
      <c r="A18" s="23" t="n"/>
      <c r="B18" s="23" t="n"/>
      <c r="C18" s="23" t="n"/>
      <c r="D18" s="23" t="n"/>
      <c r="E18" s="23" t="n"/>
      <c r="F18" s="23" t="n"/>
      <c r="G18" s="23" t="n"/>
    </row>
    <row r="19">
      <c r="A19" s="23" t="n"/>
      <c r="B19" s="23" t="n"/>
      <c r="C19" s="23" t="n"/>
      <c r="D19" s="23" t="n"/>
      <c r="E19" s="23" t="n"/>
      <c r="F19" s="23" t="n"/>
      <c r="G19" s="23" t="n"/>
    </row>
    <row r="20">
      <c r="A20" s="23" t="n"/>
      <c r="B20" s="23" t="n"/>
      <c r="C20" s="23" t="n"/>
      <c r="D20" s="23" t="n"/>
      <c r="E20" s="23" t="n"/>
      <c r="F20" s="23" t="n"/>
      <c r="G20" s="23" t="n"/>
    </row>
    <row r="21">
      <c r="A21" s="23" t="n"/>
      <c r="B21" s="23" t="n"/>
      <c r="C21" s="23" t="n"/>
      <c r="D21" s="23" t="n"/>
      <c r="E21" s="23" t="n"/>
      <c r="F21" s="23" t="n"/>
      <c r="G21" s="23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24" customWidth="1" min="7" max="7"/>
    <col width="14" customWidth="1" min="8" max="8"/>
    <col width="16" customWidth="1" min="9" max="9"/>
    <col width="14" customWidth="1" min="10" max="10"/>
  </cols>
  <sheetData>
    <row r="1" ht="40" customHeight="1">
      <c r="A1" s="1" t="inlineStr">
        <is>
          <t>🏆 CANJES</t>
        </is>
      </c>
    </row>
    <row r="2" ht="18" customHeight="1">
      <c r="A2" s="2" t="inlineStr">
        <is>
          <t>Registro de rewards solicitados/canjeados por cliente</t>
        </is>
      </c>
    </row>
    <row r="4" ht="30" customHeight="1">
      <c r="A4" s="4" t="inlineStr">
        <is>
          <t>ID Canje</t>
        </is>
      </c>
      <c r="B4" s="4" t="inlineStr">
        <is>
          <t>Fecha</t>
        </is>
      </c>
      <c r="C4" s="4" t="inlineStr">
        <is>
          <t>ID Cliente</t>
        </is>
      </c>
      <c r="D4" s="4" t="inlineStr">
        <is>
          <t>Cliente (auto)</t>
        </is>
      </c>
      <c r="E4" s="4" t="inlineStr">
        <is>
          <t>ID Sub</t>
        </is>
      </c>
      <c r="F4" s="4" t="inlineStr">
        <is>
          <t>ID Reward</t>
        </is>
      </c>
      <c r="G4" s="4" t="inlineStr">
        <is>
          <t>Reward (auto)</t>
        </is>
      </c>
      <c r="H4" s="4" t="inlineStr">
        <is>
          <t>Costo puntos (auto)</t>
        </is>
      </c>
      <c r="I4" s="4" t="inlineStr">
        <is>
          <t>Origen</t>
        </is>
      </c>
      <c r="J4" s="4" t="inlineStr">
        <is>
          <t>Estado</t>
        </is>
      </c>
    </row>
    <row r="5">
      <c r="A5" s="21" t="inlineStr">
        <is>
          <t>CJ-0001</t>
        </is>
      </c>
      <c r="B5" s="22" t="n">
        <v>46122</v>
      </c>
      <c r="C5" s="21" t="inlineStr">
        <is>
          <t>CLI-001</t>
        </is>
      </c>
      <c r="D5" s="13">
        <f>IFERROR(VLOOKUP(C5,TBL_CLIENTES,2,FALSE),"")</f>
        <v/>
      </c>
      <c r="E5" s="21" t="inlineStr">
        <is>
          <t>SUB-0001</t>
        </is>
      </c>
      <c r="F5" s="21" t="inlineStr">
        <is>
          <t>RW-001</t>
        </is>
      </c>
      <c r="G5" s="13">
        <f>IFERROR(VLOOKUP(F5,TBL_REWARDS,2,FALSE),"")</f>
        <v/>
      </c>
      <c r="H5" s="30">
        <f>IFERROR(VLOOKUP(F5,TBL_REWARDS,4,FALSE),"")</f>
        <v/>
      </c>
      <c r="I5" s="21" t="inlineStr">
        <is>
          <t>Suscripción</t>
        </is>
      </c>
      <c r="J5" s="21" t="inlineStr">
        <is>
          <t>Canjeado</t>
        </is>
      </c>
    </row>
    <row r="6">
      <c r="A6" s="21" t="inlineStr">
        <is>
          <t>CJ-0002</t>
        </is>
      </c>
      <c r="B6" s="22" t="n">
        <v>46127</v>
      </c>
      <c r="C6" s="21" t="inlineStr">
        <is>
          <t>CLI-003</t>
        </is>
      </c>
      <c r="D6" s="13">
        <f>IFERROR(VLOOKUP(C6,TBL_CLIENTES,2,FALSE),"")</f>
        <v/>
      </c>
      <c r="E6" s="21" t="inlineStr">
        <is>
          <t>SUB-0003</t>
        </is>
      </c>
      <c r="F6" s="21" t="inlineStr">
        <is>
          <t>RW-005</t>
        </is>
      </c>
      <c r="G6" s="13">
        <f>IFERROR(VLOOKUP(F6,TBL_REWARDS,2,FALSE),"")</f>
        <v/>
      </c>
      <c r="H6" s="30">
        <f>IFERROR(VLOOKUP(F6,TBL_REWARDS,4,FALSE),"")</f>
        <v/>
      </c>
      <c r="I6" s="21" t="inlineStr">
        <is>
          <t>Suscripción</t>
        </is>
      </c>
      <c r="J6" s="21" t="inlineStr">
        <is>
          <t>Canjeado</t>
        </is>
      </c>
    </row>
    <row r="7">
      <c r="A7" s="21" t="inlineStr">
        <is>
          <t>CJ-0003</t>
        </is>
      </c>
      <c r="B7" s="22" t="n">
        <v>46134</v>
      </c>
      <c r="C7" s="21" t="inlineStr">
        <is>
          <t>CLI-003</t>
        </is>
      </c>
      <c r="D7" s="13">
        <f>IFERROR(VLOOKUP(C7,TBL_CLIENTES,2,FALSE),"")</f>
        <v/>
      </c>
      <c r="E7" s="21" t="inlineStr">
        <is>
          <t>SUB-0003</t>
        </is>
      </c>
      <c r="F7" s="21" t="inlineStr">
        <is>
          <t>RW-007</t>
        </is>
      </c>
      <c r="G7" s="13">
        <f>IFERROR(VLOOKUP(F7,TBL_REWARDS,2,FALSE),"")</f>
        <v/>
      </c>
      <c r="H7" s="30">
        <f>IFERROR(VLOOKUP(F7,TBL_REWARDS,4,FALSE),"")</f>
        <v/>
      </c>
      <c r="I7" s="21" t="inlineStr">
        <is>
          <t>Manual</t>
        </is>
      </c>
      <c r="J7" s="21" t="inlineStr">
        <is>
          <t>Canjeado</t>
        </is>
      </c>
    </row>
    <row r="8">
      <c r="A8" s="21" t="inlineStr">
        <is>
          <t>CJ-0004</t>
        </is>
      </c>
      <c r="B8" s="22" t="n">
        <v>46140</v>
      </c>
      <c r="C8" s="21" t="inlineStr">
        <is>
          <t>CLI-001</t>
        </is>
      </c>
      <c r="D8" s="13">
        <f>IFERROR(VLOOKUP(C8,TBL_CLIENTES,2,FALSE),"")</f>
        <v/>
      </c>
      <c r="E8" s="21" t="inlineStr">
        <is>
          <t>SUB-0001</t>
        </is>
      </c>
      <c r="F8" s="21" t="inlineStr">
        <is>
          <t>RW-006</t>
        </is>
      </c>
      <c r="G8" s="13">
        <f>IFERROR(VLOOKUP(F8,TBL_REWARDS,2,FALSE),"")</f>
        <v/>
      </c>
      <c r="H8" s="30">
        <f>IFERROR(VLOOKUP(F8,TBL_REWARDS,4,FALSE),"")</f>
        <v/>
      </c>
      <c r="I8" s="21" t="inlineStr">
        <is>
          <t>Automático</t>
        </is>
      </c>
      <c r="J8" s="21" t="inlineStr">
        <is>
          <t>Pendiente</t>
        </is>
      </c>
    </row>
    <row r="9">
      <c r="A9" s="21" t="inlineStr">
        <is>
          <t>CJ-0005</t>
        </is>
      </c>
      <c r="B9" s="22" t="n">
        <v>46143</v>
      </c>
      <c r="C9" s="21" t="inlineStr">
        <is>
          <t>CLI-005</t>
        </is>
      </c>
      <c r="D9" s="13">
        <f>IFERROR(VLOOKUP(C9,TBL_CLIENTES,2,FALSE),"")</f>
        <v/>
      </c>
      <c r="E9" s="21" t="inlineStr">
        <is>
          <t>SUB-0005</t>
        </is>
      </c>
      <c r="F9" s="21" t="inlineStr">
        <is>
          <t>RW-002</t>
        </is>
      </c>
      <c r="G9" s="13">
        <f>IFERROR(VLOOKUP(F9,TBL_REWARDS,2,FALSE),"")</f>
        <v/>
      </c>
      <c r="H9" s="30">
        <f>IFERROR(VLOOKUP(F9,TBL_REWARDS,4,FALSE),"")</f>
        <v/>
      </c>
      <c r="I9" s="21" t="inlineStr">
        <is>
          <t>Suscripción</t>
        </is>
      </c>
      <c r="J9" s="21" t="inlineStr">
        <is>
          <t>Canjeado</t>
        </is>
      </c>
    </row>
    <row r="10">
      <c r="A10" s="23" t="n"/>
      <c r="B10" s="27" t="n"/>
      <c r="C10" s="23" t="n"/>
      <c r="D10" s="24">
        <f>IFERROR(VLOOKUP(C10,TBL_CLIENTES,2,FALSE),"")</f>
        <v/>
      </c>
      <c r="E10" s="23" t="n"/>
      <c r="F10" s="23" t="n"/>
      <c r="G10" s="24">
        <f>IFERROR(VLOOKUP(F10,TBL_REWARDS,2,FALSE),"")</f>
        <v/>
      </c>
      <c r="H10" s="31">
        <f>IFERROR(VLOOKUP(F10,TBL_REWARDS,4,FALSE),"")</f>
        <v/>
      </c>
      <c r="I10" s="23" t="n"/>
      <c r="J10" s="23" t="n"/>
    </row>
    <row r="11">
      <c r="A11" s="23" t="n"/>
      <c r="B11" s="27" t="n"/>
      <c r="C11" s="23" t="n"/>
      <c r="D11" s="24">
        <f>IFERROR(VLOOKUP(C11,TBL_CLIENTES,2,FALSE),"")</f>
        <v/>
      </c>
      <c r="E11" s="23" t="n"/>
      <c r="F11" s="23" t="n"/>
      <c r="G11" s="24">
        <f>IFERROR(VLOOKUP(F11,TBL_REWARDS,2,FALSE),"")</f>
        <v/>
      </c>
      <c r="H11" s="31">
        <f>IFERROR(VLOOKUP(F11,TBL_REWARDS,4,FALSE),"")</f>
        <v/>
      </c>
      <c r="I11" s="23" t="n"/>
      <c r="J11" s="23" t="n"/>
    </row>
    <row r="12">
      <c r="A12" s="23" t="n"/>
      <c r="B12" s="27" t="n"/>
      <c r="C12" s="23" t="n"/>
      <c r="D12" s="24">
        <f>IFERROR(VLOOKUP(C12,TBL_CLIENTES,2,FALSE),"")</f>
        <v/>
      </c>
      <c r="E12" s="23" t="n"/>
      <c r="F12" s="23" t="n"/>
      <c r="G12" s="24">
        <f>IFERROR(VLOOKUP(F12,TBL_REWARDS,2,FALSE),"")</f>
        <v/>
      </c>
      <c r="H12" s="31">
        <f>IFERROR(VLOOKUP(F12,TBL_REWARDS,4,FALSE),"")</f>
        <v/>
      </c>
      <c r="I12" s="23" t="n"/>
      <c r="J12" s="23" t="n"/>
    </row>
    <row r="13">
      <c r="A13" s="23" t="n"/>
      <c r="B13" s="27" t="n"/>
      <c r="C13" s="23" t="n"/>
      <c r="D13" s="24">
        <f>IFERROR(VLOOKUP(C13,TBL_CLIENTES,2,FALSE),"")</f>
        <v/>
      </c>
      <c r="E13" s="23" t="n"/>
      <c r="F13" s="23" t="n"/>
      <c r="G13" s="24">
        <f>IFERROR(VLOOKUP(F13,TBL_REWARDS,2,FALSE),"")</f>
        <v/>
      </c>
      <c r="H13" s="31">
        <f>IFERROR(VLOOKUP(F13,TBL_REWARDS,4,FALSE),"")</f>
        <v/>
      </c>
      <c r="I13" s="23" t="n"/>
      <c r="J13" s="23" t="n"/>
    </row>
    <row r="14">
      <c r="A14" s="23" t="n"/>
      <c r="B14" s="27" t="n"/>
      <c r="C14" s="23" t="n"/>
      <c r="D14" s="24">
        <f>IFERROR(VLOOKUP(C14,TBL_CLIENTES,2,FALSE),"")</f>
        <v/>
      </c>
      <c r="E14" s="23" t="n"/>
      <c r="F14" s="23" t="n"/>
      <c r="G14" s="24">
        <f>IFERROR(VLOOKUP(F14,TBL_REWARDS,2,FALSE),"")</f>
        <v/>
      </c>
      <c r="H14" s="31">
        <f>IFERROR(VLOOKUP(F14,TBL_REWARDS,4,FALSE),"")</f>
        <v/>
      </c>
      <c r="I14" s="23" t="n"/>
      <c r="J14" s="23" t="n"/>
    </row>
    <row r="15">
      <c r="A15" s="23" t="n"/>
      <c r="B15" s="27" t="n"/>
      <c r="C15" s="23" t="n"/>
      <c r="D15" s="24">
        <f>IFERROR(VLOOKUP(C15,TBL_CLIENTES,2,FALSE),"")</f>
        <v/>
      </c>
      <c r="E15" s="23" t="n"/>
      <c r="F15" s="23" t="n"/>
      <c r="G15" s="24">
        <f>IFERROR(VLOOKUP(F15,TBL_REWARDS,2,FALSE),"")</f>
        <v/>
      </c>
      <c r="H15" s="31">
        <f>IFERROR(VLOOKUP(F15,TBL_REWARDS,4,FALSE),"")</f>
        <v/>
      </c>
      <c r="I15" s="23" t="n"/>
      <c r="J15" s="23" t="n"/>
    </row>
    <row r="16">
      <c r="A16" s="23" t="n"/>
      <c r="B16" s="27" t="n"/>
      <c r="C16" s="23" t="n"/>
      <c r="D16" s="24">
        <f>IFERROR(VLOOKUP(C16,TBL_CLIENTES,2,FALSE),"")</f>
        <v/>
      </c>
      <c r="E16" s="23" t="n"/>
      <c r="F16" s="23" t="n"/>
      <c r="G16" s="24">
        <f>IFERROR(VLOOKUP(F16,TBL_REWARDS,2,FALSE),"")</f>
        <v/>
      </c>
      <c r="H16" s="31">
        <f>IFERROR(VLOOKUP(F16,TBL_REWARDS,4,FALSE),"")</f>
        <v/>
      </c>
      <c r="I16" s="23" t="n"/>
      <c r="J16" s="23" t="n"/>
    </row>
    <row r="17">
      <c r="A17" s="23" t="n"/>
      <c r="B17" s="27" t="n"/>
      <c r="C17" s="23" t="n"/>
      <c r="D17" s="24">
        <f>IFERROR(VLOOKUP(C17,TBL_CLIENTES,2,FALSE),"")</f>
        <v/>
      </c>
      <c r="E17" s="23" t="n"/>
      <c r="F17" s="23" t="n"/>
      <c r="G17" s="24">
        <f>IFERROR(VLOOKUP(F17,TBL_REWARDS,2,FALSE),"")</f>
        <v/>
      </c>
      <c r="H17" s="31">
        <f>IFERROR(VLOOKUP(F17,TBL_REWARDS,4,FALSE),"")</f>
        <v/>
      </c>
      <c r="I17" s="23" t="n"/>
      <c r="J17" s="23" t="n"/>
    </row>
    <row r="18">
      <c r="A18" s="23" t="n"/>
      <c r="B18" s="27" t="n"/>
      <c r="C18" s="23" t="n"/>
      <c r="D18" s="24">
        <f>IFERROR(VLOOKUP(C18,TBL_CLIENTES,2,FALSE),"")</f>
        <v/>
      </c>
      <c r="E18" s="23" t="n"/>
      <c r="F18" s="23" t="n"/>
      <c r="G18" s="24">
        <f>IFERROR(VLOOKUP(F18,TBL_REWARDS,2,FALSE),"")</f>
        <v/>
      </c>
      <c r="H18" s="31">
        <f>IFERROR(VLOOKUP(F18,TBL_REWARDS,4,FALSE),"")</f>
        <v/>
      </c>
      <c r="I18" s="23" t="n"/>
      <c r="J18" s="23" t="n"/>
    </row>
    <row r="19">
      <c r="A19" s="23" t="n"/>
      <c r="B19" s="27" t="n"/>
      <c r="C19" s="23" t="n"/>
      <c r="D19" s="24">
        <f>IFERROR(VLOOKUP(C19,TBL_CLIENTES,2,FALSE),"")</f>
        <v/>
      </c>
      <c r="E19" s="23" t="n"/>
      <c r="F19" s="23" t="n"/>
      <c r="G19" s="24">
        <f>IFERROR(VLOOKUP(F19,TBL_REWARDS,2,FALSE),"")</f>
        <v/>
      </c>
      <c r="H19" s="31">
        <f>IFERROR(VLOOKUP(F19,TBL_REWARDS,4,FALSE),"")</f>
        <v/>
      </c>
      <c r="I19" s="23" t="n"/>
      <c r="J19" s="23" t="n"/>
    </row>
    <row r="20">
      <c r="A20" s="23" t="n"/>
      <c r="B20" s="27" t="n"/>
      <c r="C20" s="23" t="n"/>
      <c r="D20" s="24">
        <f>IFERROR(VLOOKUP(C20,TBL_CLIENTES,2,FALSE),"")</f>
        <v/>
      </c>
      <c r="E20" s="23" t="n"/>
      <c r="F20" s="23" t="n"/>
      <c r="G20" s="24">
        <f>IFERROR(VLOOKUP(F20,TBL_REWARDS,2,FALSE),"")</f>
        <v/>
      </c>
      <c r="H20" s="31">
        <f>IFERROR(VLOOKUP(F20,TBL_REWARDS,4,FALSE),"")</f>
        <v/>
      </c>
      <c r="I20" s="23" t="n"/>
      <c r="J20" s="23" t="n"/>
    </row>
    <row r="21">
      <c r="A21" s="23" t="n"/>
      <c r="B21" s="27" t="n"/>
      <c r="C21" s="23" t="n"/>
      <c r="D21" s="24">
        <f>IFERROR(VLOOKUP(C21,TBL_CLIENTES,2,FALSE),"")</f>
        <v/>
      </c>
      <c r="E21" s="23" t="n"/>
      <c r="F21" s="23" t="n"/>
      <c r="G21" s="24">
        <f>IFERROR(VLOOKUP(F21,TBL_REWARDS,2,FALSE),"")</f>
        <v/>
      </c>
      <c r="H21" s="31">
        <f>IFERROR(VLOOKUP(F21,TBL_REWARDS,4,FALSE),"")</f>
        <v/>
      </c>
      <c r="I21" s="23" t="n"/>
      <c r="J21" s="23" t="n"/>
    </row>
    <row r="22">
      <c r="A22" s="23" t="n"/>
      <c r="B22" s="27" t="n"/>
      <c r="C22" s="23" t="n"/>
      <c r="D22" s="24">
        <f>IFERROR(VLOOKUP(C22,TBL_CLIENTES,2,FALSE),"")</f>
        <v/>
      </c>
      <c r="E22" s="23" t="n"/>
      <c r="F22" s="23" t="n"/>
      <c r="G22" s="24">
        <f>IFERROR(VLOOKUP(F22,TBL_REWARDS,2,FALSE),"")</f>
        <v/>
      </c>
      <c r="H22" s="31">
        <f>IFERROR(VLOOKUP(F22,TBL_REWARDS,4,FALSE),"")</f>
        <v/>
      </c>
      <c r="I22" s="23" t="n"/>
      <c r="J22" s="23" t="n"/>
    </row>
    <row r="23">
      <c r="A23" s="23" t="n"/>
      <c r="B23" s="27" t="n"/>
      <c r="C23" s="23" t="n"/>
      <c r="D23" s="24">
        <f>IFERROR(VLOOKUP(C23,TBL_CLIENTES,2,FALSE),"")</f>
        <v/>
      </c>
      <c r="E23" s="23" t="n"/>
      <c r="F23" s="23" t="n"/>
      <c r="G23" s="24">
        <f>IFERROR(VLOOKUP(F23,TBL_REWARDS,2,FALSE),"")</f>
        <v/>
      </c>
      <c r="H23" s="31">
        <f>IFERROR(VLOOKUP(F23,TBL_REWARDS,4,FALSE),"")</f>
        <v/>
      </c>
      <c r="I23" s="23" t="n"/>
      <c r="J23" s="23" t="n"/>
    </row>
    <row r="24">
      <c r="A24" s="23" t="n"/>
      <c r="B24" s="27" t="n"/>
      <c r="C24" s="23" t="n"/>
      <c r="D24" s="24">
        <f>IFERROR(VLOOKUP(C24,TBL_CLIENTES,2,FALSE),"")</f>
        <v/>
      </c>
      <c r="E24" s="23" t="n"/>
      <c r="F24" s="23" t="n"/>
      <c r="G24" s="24">
        <f>IFERROR(VLOOKUP(F24,TBL_REWARDS,2,FALSE),"")</f>
        <v/>
      </c>
      <c r="H24" s="31">
        <f>IFERROR(VLOOKUP(F24,TBL_REWARDS,4,FALSE),"")</f>
        <v/>
      </c>
      <c r="I24" s="23" t="n"/>
      <c r="J24" s="23" t="n"/>
    </row>
    <row r="25">
      <c r="A25" s="23" t="n"/>
      <c r="B25" s="27" t="n"/>
      <c r="C25" s="23" t="n"/>
      <c r="D25" s="24">
        <f>IFERROR(VLOOKUP(C25,TBL_CLIENTES,2,FALSE),"")</f>
        <v/>
      </c>
      <c r="E25" s="23" t="n"/>
      <c r="F25" s="23" t="n"/>
      <c r="G25" s="24">
        <f>IFERROR(VLOOKUP(F25,TBL_REWARDS,2,FALSE),"")</f>
        <v/>
      </c>
      <c r="H25" s="31">
        <f>IFERROR(VLOOKUP(F25,TBL_REWARDS,4,FALSE),"")</f>
        <v/>
      </c>
      <c r="I25" s="23" t="n"/>
      <c r="J25" s="23" t="n"/>
    </row>
    <row r="26">
      <c r="A26" s="23" t="n"/>
      <c r="B26" s="27" t="n"/>
      <c r="C26" s="23" t="n"/>
      <c r="D26" s="24">
        <f>IFERROR(VLOOKUP(C26,TBL_CLIENTES,2,FALSE),"")</f>
        <v/>
      </c>
      <c r="E26" s="23" t="n"/>
      <c r="F26" s="23" t="n"/>
      <c r="G26" s="24">
        <f>IFERROR(VLOOKUP(F26,TBL_REWARDS,2,FALSE),"")</f>
        <v/>
      </c>
      <c r="H26" s="31">
        <f>IFERROR(VLOOKUP(F26,TBL_REWARDS,4,FALSE),"")</f>
        <v/>
      </c>
      <c r="I26" s="23" t="n"/>
      <c r="J26" s="23" t="n"/>
    </row>
    <row r="27">
      <c r="A27" s="23" t="n"/>
      <c r="B27" s="27" t="n"/>
      <c r="C27" s="23" t="n"/>
      <c r="D27" s="24">
        <f>IFERROR(VLOOKUP(C27,TBL_CLIENTES,2,FALSE),"")</f>
        <v/>
      </c>
      <c r="E27" s="23" t="n"/>
      <c r="F27" s="23" t="n"/>
      <c r="G27" s="24">
        <f>IFERROR(VLOOKUP(F27,TBL_REWARDS,2,FALSE),"")</f>
        <v/>
      </c>
      <c r="H27" s="31">
        <f>IFERROR(VLOOKUP(F27,TBL_REWARDS,4,FALSE),"")</f>
        <v/>
      </c>
      <c r="I27" s="23" t="n"/>
      <c r="J27" s="23" t="n"/>
    </row>
    <row r="28">
      <c r="A28" s="23" t="n"/>
      <c r="B28" s="27" t="n"/>
      <c r="C28" s="23" t="n"/>
      <c r="D28" s="24">
        <f>IFERROR(VLOOKUP(C28,TBL_CLIENTES,2,FALSE),"")</f>
        <v/>
      </c>
      <c r="E28" s="23" t="n"/>
      <c r="F28" s="23" t="n"/>
      <c r="G28" s="24">
        <f>IFERROR(VLOOKUP(F28,TBL_REWARDS,2,FALSE),"")</f>
        <v/>
      </c>
      <c r="H28" s="31">
        <f>IFERROR(VLOOKUP(F28,TBL_REWARDS,4,FALSE),"")</f>
        <v/>
      </c>
      <c r="I28" s="23" t="n"/>
      <c r="J28" s="23" t="n"/>
    </row>
    <row r="29">
      <c r="A29" s="23" t="n"/>
      <c r="B29" s="27" t="n"/>
      <c r="C29" s="23" t="n"/>
      <c r="D29" s="24">
        <f>IFERROR(VLOOKUP(C29,TBL_CLIENTES,2,FALSE),"")</f>
        <v/>
      </c>
      <c r="E29" s="23" t="n"/>
      <c r="F29" s="23" t="n"/>
      <c r="G29" s="24">
        <f>IFERROR(VLOOKUP(F29,TBL_REWARDS,2,FALSE),"")</f>
        <v/>
      </c>
      <c r="H29" s="31">
        <f>IFERROR(VLOOKUP(F29,TBL_REWARDS,4,FALSE),"")</f>
        <v/>
      </c>
      <c r="I29" s="23" t="n"/>
      <c r="J29" s="23" t="n"/>
    </row>
  </sheetData>
  <mergeCells count="2">
    <mergeCell ref="A1:J1"/>
    <mergeCell ref="A2:J2"/>
  </mergeCells>
  <conditionalFormatting sqref="J5:J30">
    <cfRule type="expression" priority="1" dxfId="3">
      <formula>$J5="Canjeado"</formula>
    </cfRule>
    <cfRule type="expression" priority="2" dxfId="1">
      <formula>$J5="Pendiente"</formula>
    </cfRule>
    <cfRule type="expression" priority="3" dxfId="2">
      <formula>$J5="Expirado"</formula>
    </cfRule>
    <cfRule type="expression" priority="4" dxfId="5">
      <formula>$J5="Cancelado"</formula>
    </cfRule>
  </conditionalFormatting>
  <dataValidations count="4">
    <dataValidation sqref="J5:J30" showDropDown="0" showInputMessage="0" showErrorMessage="0" allowBlank="1" type="list">
      <formula1>"Pendiente,Canjeado,Expirado,Cancelado"</formula1>
    </dataValidation>
    <dataValidation sqref="I5:I30" showDropDown="0" showInputMessage="0" showErrorMessage="0" allowBlank="1" type="list">
      <formula1>"Suscripción,Manual,Automático,Promoción"</formula1>
    </dataValidation>
    <dataValidation sqref="F5:F30" showDropDown="0" showInputMessage="0" showErrorMessage="0" allowBlank="1" type="list">
      <formula1>=Rewards!$A$5:$A$22</formula1>
    </dataValidation>
    <dataValidation sqref="C5:C30" showDropDown="0" showInputMessage="0" showErrorMessage="0" allowBlank="1" type="list">
      <formula1>=Clientes!$A$5:$A$30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2026-05-02T16:21:14Z</dcterms:created>
  <dcterms:modified xsi:type="dcterms:W3CDTF">2026-05-02T16:21:14Z</dcterms:modified>
</cp:coreProperties>
</file>